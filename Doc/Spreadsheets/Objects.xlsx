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olyQuestGo\Doc\Spreadsheets\"/>
    </mc:Choice>
  </mc:AlternateContent>
  <xr:revisionPtr revIDLastSave="0" documentId="8_{3432E89D-EEDB-4A54-949A-1BB7D3918063}" xr6:coauthVersionLast="47" xr6:coauthVersionMax="47" xr10:uidLastSave="{00000000-0000-0000-0000-000000000000}"/>
  <bookViews>
    <workbookView xWindow="-120" yWindow="-120" windowWidth="29040" windowHeight="15720" xr2:uid="{A896D011-1BCD-4F57-BDD6-5306A15EAE27}"/>
  </bookViews>
  <sheets>
    <sheet name="Weapons" sheetId="5" r:id="rId1"/>
    <sheet name="Armor" sheetId="1" r:id="rId2"/>
    <sheet name="Jewelry" sheetId="4" r:id="rId3"/>
    <sheet name="Junk" sheetId="7" r:id="rId4"/>
    <sheet name="NoTake" sheetId="6" r:id="rId5"/>
    <sheet name="Mob Chart" sheetId="8" r:id="rId6"/>
    <sheet name="Armor Clas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C3" i="1" s="1"/>
  <c r="D9" i="1"/>
  <c r="C9" i="1" s="1"/>
  <c r="F13" i="1"/>
  <c r="B14" i="1"/>
  <c r="D14" i="1"/>
  <c r="D2" i="1" s="1"/>
  <c r="C2" i="1" s="1"/>
  <c r="E16" i="1"/>
  <c r="D19" i="1"/>
  <c r="C19" i="1" s="1"/>
  <c r="D21" i="1"/>
  <c r="C21" i="1" s="1"/>
  <c r="C22" i="1"/>
  <c r="D22" i="1"/>
  <c r="D25" i="1"/>
  <c r="C25" i="1" s="1"/>
  <c r="D27" i="1"/>
  <c r="C27" i="1" s="1"/>
  <c r="C28" i="1"/>
  <c r="D28" i="1"/>
  <c r="F29" i="1"/>
  <c r="B30" i="1"/>
  <c r="D30" i="1"/>
  <c r="D23" i="1" s="1"/>
  <c r="C23" i="1" s="1"/>
  <c r="E32" i="1"/>
  <c r="C34" i="1"/>
  <c r="D36" i="1"/>
  <c r="C36" i="1" s="1"/>
  <c r="D37" i="1"/>
  <c r="C37" i="1" s="1"/>
  <c r="C38" i="1"/>
  <c r="D38" i="1"/>
  <c r="C39" i="1"/>
  <c r="D39" i="1"/>
  <c r="D42" i="1"/>
  <c r="C42" i="1" s="1"/>
  <c r="D43" i="1"/>
  <c r="C43" i="1" s="1"/>
  <c r="C44" i="1"/>
  <c r="D44" i="1"/>
  <c r="F45" i="1"/>
  <c r="B46" i="1"/>
  <c r="D46" i="1"/>
  <c r="D34" i="1" s="1"/>
  <c r="E48" i="1"/>
  <c r="D52" i="1"/>
  <c r="C52" i="1" s="1"/>
  <c r="D54" i="1"/>
  <c r="C54" i="1" s="1"/>
  <c r="D56" i="1"/>
  <c r="C56" i="1" s="1"/>
  <c r="D58" i="1"/>
  <c r="C58" i="1" s="1"/>
  <c r="D60" i="1"/>
  <c r="C60" i="1" s="1"/>
  <c r="F61" i="1"/>
  <c r="B62" i="1"/>
  <c r="D62" i="1"/>
  <c r="E64" i="1"/>
  <c r="D69" i="1"/>
  <c r="C69" i="1" s="1"/>
  <c r="D70" i="1"/>
  <c r="C70" i="1" s="1"/>
  <c r="D71" i="1"/>
  <c r="C71" i="1" s="1"/>
  <c r="F77" i="1"/>
  <c r="B78" i="1"/>
  <c r="D78" i="1"/>
  <c r="E80" i="1"/>
  <c r="D83" i="1"/>
  <c r="C83" i="1" s="1"/>
  <c r="C84" i="1"/>
  <c r="D84" i="1"/>
  <c r="D85" i="1"/>
  <c r="C85" i="1" s="1"/>
  <c r="C86" i="1"/>
  <c r="D86" i="1"/>
  <c r="C87" i="1"/>
  <c r="D87" i="1"/>
  <c r="D89" i="1"/>
  <c r="C89" i="1" s="1"/>
  <c r="D90" i="1"/>
  <c r="C90" i="1" s="1"/>
  <c r="D91" i="1"/>
  <c r="C91" i="1" s="1"/>
  <c r="C92" i="1"/>
  <c r="D92" i="1"/>
  <c r="F93" i="1"/>
  <c r="B94" i="1"/>
  <c r="D94" i="1"/>
  <c r="D82" i="1" s="1"/>
  <c r="C82" i="1" s="1"/>
  <c r="E96" i="1"/>
  <c r="C100" i="1"/>
  <c r="C101" i="1"/>
  <c r="C112" i="1" s="1"/>
  <c r="C102" i="1"/>
  <c r="C103" i="1"/>
  <c r="C104" i="1"/>
  <c r="C105" i="1"/>
  <c r="C106" i="1"/>
  <c r="C107" i="1"/>
  <c r="C108" i="1"/>
  <c r="C109" i="1"/>
  <c r="C110" i="1"/>
  <c r="B112" i="1"/>
  <c r="D112" i="1"/>
  <c r="E112" i="1" s="1"/>
  <c r="E114" i="1" s="1"/>
  <c r="B3" i="9"/>
  <c r="E5" i="9" s="1"/>
  <c r="E4" i="9"/>
  <c r="D5" i="9"/>
  <c r="D6" i="9"/>
  <c r="B6" i="8"/>
  <c r="C6" i="8"/>
  <c r="D6" i="8"/>
  <c r="A7" i="8"/>
  <c r="B7" i="8"/>
  <c r="A8" i="8"/>
  <c r="B8" i="8"/>
  <c r="C8" i="8"/>
  <c r="D8" i="8"/>
  <c r="A9" i="8"/>
  <c r="D9" i="8" s="1"/>
  <c r="B9" i="8"/>
  <c r="I1" i="5"/>
  <c r="D19" i="5" s="1"/>
  <c r="C19" i="5" s="1"/>
  <c r="D2" i="5"/>
  <c r="C2" i="5" s="1"/>
  <c r="D3" i="5"/>
  <c r="C3" i="5" s="1"/>
  <c r="D12" i="5"/>
  <c r="C12" i="5" s="1"/>
  <c r="D13" i="5"/>
  <c r="C13" i="5" s="1"/>
  <c r="D21" i="5"/>
  <c r="C21" i="5" s="1"/>
  <c r="D29" i="5"/>
  <c r="C29" i="5" s="1"/>
  <c r="D30" i="5"/>
  <c r="C30" i="5" s="1"/>
  <c r="D67" i="1" l="1"/>
  <c r="C67" i="1" s="1"/>
  <c r="D73" i="1"/>
  <c r="C73" i="1" s="1"/>
  <c r="D68" i="1"/>
  <c r="C68" i="1" s="1"/>
  <c r="D74" i="1"/>
  <c r="C74" i="1" s="1"/>
  <c r="D10" i="5"/>
  <c r="C10" i="5" s="1"/>
  <c r="D8" i="5"/>
  <c r="C8" i="5" s="1"/>
  <c r="D76" i="1"/>
  <c r="C76" i="1" s="1"/>
  <c r="D7" i="5"/>
  <c r="C7" i="5" s="1"/>
  <c r="C7" i="8"/>
  <c r="D7" i="8"/>
  <c r="C94" i="1"/>
  <c r="D66" i="1"/>
  <c r="C66" i="1" s="1"/>
  <c r="D20" i="5"/>
  <c r="C20" i="5" s="1"/>
  <c r="D75" i="1"/>
  <c r="C75" i="1" s="1"/>
  <c r="D28" i="5"/>
  <c r="C28" i="5" s="1"/>
  <c r="E6" i="9"/>
  <c r="D7" i="9"/>
  <c r="D51" i="1"/>
  <c r="C51" i="1" s="1"/>
  <c r="D57" i="1"/>
  <c r="C57" i="1" s="1"/>
  <c r="D53" i="1"/>
  <c r="C53" i="1" s="1"/>
  <c r="D59" i="1"/>
  <c r="C59" i="1" s="1"/>
  <c r="D55" i="1"/>
  <c r="C55" i="1" s="1"/>
  <c r="D50" i="1"/>
  <c r="C50" i="1" s="1"/>
  <c r="D4" i="5"/>
  <c r="C4" i="5" s="1"/>
  <c r="D11" i="5"/>
  <c r="C11" i="5" s="1"/>
  <c r="D18" i="5"/>
  <c r="C18" i="5" s="1"/>
  <c r="D24" i="5"/>
  <c r="C24" i="5" s="1"/>
  <c r="D31" i="5"/>
  <c r="C31" i="5" s="1"/>
  <c r="D6" i="5"/>
  <c r="C6" i="5" s="1"/>
  <c r="D23" i="5"/>
  <c r="C23" i="5" s="1"/>
  <c r="D14" i="5"/>
  <c r="C14" i="5" s="1"/>
  <c r="A10" i="8"/>
  <c r="D27" i="5"/>
  <c r="C27" i="5" s="1"/>
  <c r="D16" i="5"/>
  <c r="C16" i="5" s="1"/>
  <c r="D26" i="5"/>
  <c r="C26" i="5" s="1"/>
  <c r="D15" i="5"/>
  <c r="C15" i="5" s="1"/>
  <c r="D34" i="5"/>
  <c r="C34" i="5" s="1"/>
  <c r="D32" i="5"/>
  <c r="C32" i="5" s="1"/>
  <c r="D22" i="5"/>
  <c r="C22" i="5" s="1"/>
  <c r="D5" i="5"/>
  <c r="C5" i="5" s="1"/>
  <c r="C9" i="8"/>
  <c r="D72" i="1"/>
  <c r="C72" i="1" s="1"/>
  <c r="D7" i="1"/>
  <c r="C7" i="1" s="1"/>
  <c r="D41" i="1"/>
  <c r="C41" i="1" s="1"/>
  <c r="D35" i="1"/>
  <c r="C35" i="1" s="1"/>
  <c r="D12" i="1"/>
  <c r="C12" i="1" s="1"/>
  <c r="D6" i="1"/>
  <c r="C6" i="1" s="1"/>
  <c r="C14" i="1" s="1"/>
  <c r="D26" i="1"/>
  <c r="C26" i="1" s="1"/>
  <c r="D20" i="1"/>
  <c r="C20" i="1" s="1"/>
  <c r="D40" i="1"/>
  <c r="C40" i="1" s="1"/>
  <c r="D11" i="1"/>
  <c r="C11" i="1" s="1"/>
  <c r="D5" i="1"/>
  <c r="C5" i="1" s="1"/>
  <c r="D10" i="1"/>
  <c r="C10" i="1" s="1"/>
  <c r="D4" i="1"/>
  <c r="C4" i="1" s="1"/>
  <c r="D88" i="1"/>
  <c r="C88" i="1" s="1"/>
  <c r="D24" i="1"/>
  <c r="C24" i="1" s="1"/>
  <c r="D18" i="1"/>
  <c r="C18" i="1" s="1"/>
  <c r="C30" i="1" s="1"/>
  <c r="D8" i="1"/>
  <c r="C8" i="1" s="1"/>
  <c r="C62" i="1" l="1"/>
  <c r="E7" i="9"/>
  <c r="D8" i="9"/>
  <c r="C10" i="8"/>
  <c r="D10" i="8"/>
  <c r="B10" i="8"/>
  <c r="A11" i="8"/>
  <c r="C46" i="1"/>
  <c r="C78" i="1"/>
  <c r="B11" i="8" l="1"/>
  <c r="A12" i="8"/>
  <c r="C11" i="8"/>
  <c r="D11" i="8"/>
  <c r="E8" i="9"/>
  <c r="D9" i="9"/>
  <c r="E9" i="9" l="1"/>
  <c r="D10" i="9"/>
  <c r="D12" i="8"/>
  <c r="A13" i="8"/>
  <c r="C12" i="8"/>
  <c r="B12" i="8"/>
  <c r="C13" i="8" l="1"/>
  <c r="D13" i="8"/>
  <c r="A14" i="8"/>
  <c r="B13" i="8"/>
  <c r="D11" i="9"/>
  <c r="E10" i="9"/>
  <c r="D12" i="9" l="1"/>
  <c r="E11" i="9"/>
  <c r="B14" i="8"/>
  <c r="C14" i="8"/>
  <c r="D14" i="8"/>
  <c r="A15" i="8"/>
  <c r="D15" i="8" l="1"/>
  <c r="A16" i="8"/>
  <c r="B15" i="8"/>
  <c r="C15" i="8"/>
  <c r="E12" i="9"/>
  <c r="D13" i="9"/>
  <c r="E13" i="9" l="1"/>
  <c r="D14" i="9"/>
  <c r="C16" i="8"/>
  <c r="D16" i="8"/>
  <c r="A17" i="8"/>
  <c r="B16" i="8"/>
  <c r="E14" i="9" l="1"/>
  <c r="D15" i="9"/>
  <c r="D17" i="8"/>
  <c r="A18" i="8"/>
  <c r="B17" i="8"/>
  <c r="C17" i="8"/>
  <c r="D18" i="8" l="1"/>
  <c r="B18" i="8"/>
  <c r="C18" i="8"/>
  <c r="A19" i="8"/>
  <c r="E15" i="9"/>
  <c r="D16" i="9"/>
  <c r="D17" i="9" l="1"/>
  <c r="E16" i="9"/>
  <c r="C19" i="8"/>
  <c r="D19" i="8"/>
  <c r="B19" i="8"/>
  <c r="A20" i="8"/>
  <c r="A21" i="8" l="1"/>
  <c r="B20" i="8"/>
  <c r="C20" i="8"/>
  <c r="D20" i="8"/>
  <c r="E17" i="9"/>
  <c r="D18" i="9"/>
  <c r="E18" i="9" l="1"/>
  <c r="D19" i="9"/>
  <c r="D21" i="8"/>
  <c r="C21" i="8"/>
  <c r="A22" i="8"/>
  <c r="B21" i="8"/>
  <c r="C22" i="8" l="1"/>
  <c r="D22" i="8"/>
  <c r="B22" i="8"/>
  <c r="A23" i="8"/>
  <c r="E19" i="9"/>
  <c r="D20" i="9"/>
  <c r="D21" i="9" l="1"/>
  <c r="E20" i="9"/>
  <c r="A24" i="8"/>
  <c r="B23" i="8"/>
  <c r="C23" i="8"/>
  <c r="D23" i="8"/>
  <c r="D24" i="8" l="1"/>
  <c r="A25" i="8"/>
  <c r="C24" i="8"/>
  <c r="B24" i="8"/>
  <c r="D22" i="9"/>
  <c r="E21" i="9"/>
  <c r="D23" i="9" l="1"/>
  <c r="E22" i="9"/>
  <c r="C25" i="8"/>
  <c r="D25" i="8"/>
  <c r="A26" i="8"/>
  <c r="B25" i="8"/>
  <c r="B26" i="8" l="1"/>
  <c r="C26" i="8"/>
  <c r="D26" i="8"/>
  <c r="A27" i="8"/>
  <c r="E23" i="9"/>
  <c r="D24" i="9"/>
  <c r="E24" i="9" l="1"/>
  <c r="D25" i="9"/>
  <c r="D27" i="8"/>
  <c r="B27" i="8"/>
  <c r="A28" i="8"/>
  <c r="C27" i="8"/>
  <c r="C28" i="8" l="1"/>
  <c r="D28" i="8"/>
  <c r="A29" i="8"/>
  <c r="B28" i="8"/>
  <c r="E25" i="9"/>
  <c r="D26" i="9"/>
  <c r="E26" i="9" l="1"/>
  <c r="D27" i="9"/>
  <c r="D29" i="8"/>
  <c r="A30" i="8"/>
  <c r="B29" i="8"/>
  <c r="C29" i="8"/>
  <c r="E27" i="9" l="1"/>
  <c r="D28" i="9"/>
  <c r="D30" i="8"/>
  <c r="B30" i="8"/>
  <c r="C30" i="8"/>
  <c r="A31" i="8"/>
  <c r="D29" i="9" l="1"/>
  <c r="E28" i="9"/>
  <c r="C31" i="8"/>
  <c r="D31" i="8"/>
  <c r="B31" i="8"/>
  <c r="A32" i="8"/>
  <c r="A33" i="8" l="1"/>
  <c r="B32" i="8"/>
  <c r="D32" i="8"/>
  <c r="C32" i="8"/>
  <c r="E29" i="9"/>
  <c r="D30" i="9"/>
  <c r="E30" i="9" l="1"/>
  <c r="D31" i="9"/>
  <c r="D33" i="8"/>
  <c r="C33" i="8"/>
  <c r="A34" i="8"/>
  <c r="B33" i="8"/>
  <c r="C34" i="8" l="1"/>
  <c r="D34" i="8"/>
  <c r="B34" i="8"/>
  <c r="A35" i="8"/>
  <c r="D32" i="9"/>
  <c r="E31" i="9"/>
  <c r="E32" i="9" l="1"/>
  <c r="D33" i="9"/>
  <c r="B35" i="8"/>
  <c r="C35" i="8"/>
  <c r="D35" i="8"/>
  <c r="E33" i="9" l="1"/>
  <c r="D34" i="9"/>
  <c r="D35" i="9" l="1"/>
  <c r="E34" i="9"/>
  <c r="E35" i="9" l="1"/>
  <c r="D36" i="9"/>
  <c r="E36" i="9" l="1"/>
  <c r="D37" i="9"/>
  <c r="D38" i="9" l="1"/>
  <c r="E37" i="9"/>
  <c r="E38" i="9" l="1"/>
  <c r="D39" i="9"/>
  <c r="E39" i="9" l="1"/>
  <c r="D40" i="9"/>
  <c r="D41" i="9" l="1"/>
  <c r="E40" i="9"/>
  <c r="E41" i="9" l="1"/>
  <c r="D42" i="9"/>
  <c r="E42" i="9" l="1"/>
  <c r="D43" i="9"/>
  <c r="E43" i="9" l="1"/>
  <c r="D44" i="9"/>
  <c r="E44" i="9" l="1"/>
  <c r="D45" i="9"/>
  <c r="E45" i="9" l="1"/>
  <c r="D46" i="9"/>
  <c r="D47" i="9" l="1"/>
  <c r="E46" i="9"/>
  <c r="E47" i="9" l="1"/>
  <c r="D48" i="9"/>
  <c r="E48" i="9" l="1"/>
  <c r="D49" i="9"/>
  <c r="E49" i="9" l="1"/>
  <c r="D50" i="9"/>
  <c r="E50" i="9" l="1"/>
  <c r="D51" i="9"/>
  <c r="E51" i="9" l="1"/>
  <c r="D52" i="9"/>
  <c r="D53" i="9" l="1"/>
  <c r="E52" i="9"/>
  <c r="D54" i="9" l="1"/>
  <c r="E53" i="9"/>
  <c r="E54" i="9" l="1"/>
  <c r="D55" i="9"/>
  <c r="D56" i="9" l="1"/>
  <c r="E55" i="9"/>
  <c r="E56" i="9" l="1"/>
  <c r="D57" i="9"/>
  <c r="E57" i="9" l="1"/>
  <c r="D58" i="9"/>
  <c r="D59" i="9" l="1"/>
  <c r="E58" i="9"/>
  <c r="E59" i="9" l="1"/>
  <c r="D60" i="9"/>
  <c r="E60" i="9" l="1"/>
  <c r="D61" i="9"/>
  <c r="D62" i="9" l="1"/>
  <c r="E61" i="9"/>
  <c r="D63" i="9" l="1"/>
  <c r="E62" i="9"/>
  <c r="E63" i="9" l="1"/>
  <c r="D64" i="9"/>
  <c r="D65" i="9" l="1"/>
  <c r="E64" i="9"/>
  <c r="E65" i="9" l="1"/>
  <c r="D66" i="9"/>
  <c r="E66" i="9" l="1"/>
  <c r="D67" i="9"/>
  <c r="E67" i="9" l="1"/>
  <c r="D68" i="9"/>
  <c r="E68" i="9" l="1"/>
  <c r="D69" i="9"/>
  <c r="D70" i="9" l="1"/>
  <c r="E69" i="9"/>
  <c r="D71" i="9" l="1"/>
  <c r="E70" i="9"/>
  <c r="E71" i="9" l="1"/>
  <c r="D72" i="9"/>
  <c r="E72" i="9" l="1"/>
  <c r="D73" i="9"/>
  <c r="E73" i="9" l="1"/>
  <c r="D74" i="9"/>
  <c r="E74" i="9" l="1"/>
  <c r="D75" i="9"/>
  <c r="E75" i="9" l="1"/>
  <c r="D76" i="9"/>
  <c r="D77" i="9" l="1"/>
  <c r="E76" i="9"/>
  <c r="D78" i="9" l="1"/>
  <c r="E77" i="9"/>
  <c r="E78" i="9" l="1"/>
  <c r="D79" i="9"/>
  <c r="D80" i="9" l="1"/>
  <c r="E79" i="9"/>
  <c r="E80" i="9" l="1"/>
  <c r="D81" i="9"/>
  <c r="E81" i="9" l="1"/>
  <c r="D82" i="9"/>
  <c r="D83" i="9" l="1"/>
  <c r="E82" i="9"/>
  <c r="E83" i="9" l="1"/>
  <c r="D84" i="9"/>
  <c r="E84" i="9" l="1"/>
  <c r="D85" i="9"/>
  <c r="D86" i="9" l="1"/>
  <c r="E85" i="9"/>
  <c r="D87" i="9" l="1"/>
  <c r="E86" i="9"/>
  <c r="E87" i="9" l="1"/>
  <c r="D88" i="9"/>
  <c r="D89" i="9" l="1"/>
  <c r="E88" i="9"/>
  <c r="E89" i="9" l="1"/>
  <c r="D90" i="9"/>
  <c r="E90" i="9" l="1"/>
  <c r="D91" i="9"/>
  <c r="E91" i="9" l="1"/>
  <c r="D92" i="9"/>
  <c r="E92" i="9" l="1"/>
  <c r="D93" i="9"/>
  <c r="E93" i="9" l="1"/>
  <c r="D94" i="9"/>
  <c r="D95" i="9" l="1"/>
  <c r="E94" i="9"/>
  <c r="E95" i="9" l="1"/>
  <c r="D96" i="9"/>
  <c r="E96" i="9" l="1"/>
  <c r="D97" i="9"/>
  <c r="E97" i="9" l="1"/>
  <c r="D98" i="9"/>
  <c r="E98" i="9" l="1"/>
  <c r="D99" i="9"/>
  <c r="E99" i="9" l="1"/>
  <c r="D100" i="9"/>
  <c r="D101" i="9" l="1"/>
  <c r="E100" i="9"/>
  <c r="D102" i="9" l="1"/>
  <c r="E101" i="9"/>
  <c r="E102" i="9" l="1"/>
  <c r="D103" i="9"/>
  <c r="D104" i="9" l="1"/>
  <c r="E103" i="9"/>
  <c r="E104" i="9" l="1"/>
  <c r="D105" i="9"/>
  <c r="E105" i="9" l="1"/>
  <c r="D106" i="9"/>
  <c r="D107" i="9" l="1"/>
  <c r="E106" i="9"/>
  <c r="E107" i="9" l="1"/>
  <c r="D108" i="9"/>
  <c r="E108" i="9" l="1"/>
  <c r="D109" i="9"/>
  <c r="D110" i="9" l="1"/>
  <c r="E109" i="9"/>
  <c r="D111" i="9" l="1"/>
  <c r="E110" i="9"/>
  <c r="E111" i="9" l="1"/>
  <c r="D112" i="9"/>
  <c r="D113" i="9" l="1"/>
  <c r="E112" i="9"/>
  <c r="E113" i="9" l="1"/>
  <c r="D114" i="9"/>
  <c r="E114" i="9" l="1"/>
  <c r="D115" i="9"/>
  <c r="E115" i="9" l="1"/>
  <c r="D116" i="9"/>
  <c r="E116" i="9" l="1"/>
  <c r="D117" i="9"/>
  <c r="D118" i="9" l="1"/>
  <c r="E117" i="9"/>
  <c r="D119" i="9" l="1"/>
  <c r="E118" i="9"/>
  <c r="E119" i="9" l="1"/>
  <c r="D120" i="9"/>
  <c r="E120" i="9" l="1"/>
  <c r="D121" i="9"/>
  <c r="E121" i="9" l="1"/>
  <c r="D122" i="9"/>
  <c r="E122" i="9" l="1"/>
  <c r="D123" i="9"/>
  <c r="E123" i="9" l="1"/>
  <c r="D124" i="9"/>
  <c r="D125" i="9" l="1"/>
  <c r="E124" i="9"/>
  <c r="D126" i="9" l="1"/>
  <c r="E125" i="9"/>
  <c r="E126" i="9" l="1"/>
  <c r="D127" i="9"/>
  <c r="D128" i="9" l="1"/>
  <c r="E127" i="9"/>
  <c r="E128" i="9" l="1"/>
  <c r="D129" i="9"/>
  <c r="E129" i="9" l="1"/>
  <c r="D130" i="9"/>
  <c r="D131" i="9" l="1"/>
  <c r="E130" i="9"/>
  <c r="E131" i="9" l="1"/>
  <c r="D132" i="9"/>
  <c r="E132" i="9" l="1"/>
  <c r="D133" i="9"/>
  <c r="D134" i="9" l="1"/>
  <c r="E133" i="9"/>
  <c r="D135" i="9" l="1"/>
  <c r="E134" i="9"/>
  <c r="E135" i="9" l="1"/>
  <c r="D136" i="9"/>
  <c r="D137" i="9" l="1"/>
  <c r="E136" i="9"/>
  <c r="E137" i="9" l="1"/>
  <c r="D138" i="9"/>
  <c r="E138" i="9" l="1"/>
  <c r="D139" i="9"/>
  <c r="E139" i="9" l="1"/>
  <c r="D140" i="9"/>
  <c r="E140" i="9" l="1"/>
  <c r="D141" i="9"/>
  <c r="E141" i="9" l="1"/>
  <c r="D142" i="9"/>
  <c r="D143" i="9" l="1"/>
  <c r="E142" i="9"/>
  <c r="E143" i="9" l="1"/>
  <c r="D144" i="9"/>
  <c r="E144" i="9" l="1"/>
  <c r="D145" i="9"/>
  <c r="E145" i="9" l="1"/>
  <c r="D146" i="9"/>
  <c r="E146" i="9" l="1"/>
  <c r="D147" i="9"/>
  <c r="E147" i="9" l="1"/>
  <c r="D148" i="9"/>
  <c r="D149" i="9" l="1"/>
  <c r="E148" i="9"/>
  <c r="D150" i="9" l="1"/>
  <c r="E149" i="9"/>
  <c r="E150" i="9" l="1"/>
  <c r="D151" i="9"/>
  <c r="D152" i="9" l="1"/>
  <c r="E151" i="9"/>
  <c r="E152" i="9" l="1"/>
  <c r="D153" i="9"/>
  <c r="E153" i="9" l="1"/>
  <c r="D154" i="9"/>
  <c r="D155" i="9" l="1"/>
  <c r="E154" i="9"/>
  <c r="E155" i="9" l="1"/>
  <c r="D156" i="9"/>
  <c r="E156" i="9" l="1"/>
  <c r="D157" i="9"/>
  <c r="D158" i="9" l="1"/>
  <c r="E157" i="9"/>
  <c r="D159" i="9" l="1"/>
  <c r="E158" i="9"/>
  <c r="E159" i="9" l="1"/>
  <c r="D160" i="9"/>
  <c r="D161" i="9" l="1"/>
  <c r="E160" i="9"/>
  <c r="E161" i="9" l="1"/>
  <c r="D162" i="9"/>
  <c r="E162" i="9" l="1"/>
  <c r="D163" i="9"/>
  <c r="E163" i="9" l="1"/>
  <c r="D164" i="9"/>
  <c r="E164" i="9" l="1"/>
  <c r="D165" i="9"/>
  <c r="D166" i="9" l="1"/>
  <c r="E165" i="9"/>
  <c r="D167" i="9" l="1"/>
  <c r="E166" i="9"/>
  <c r="E167" i="9" l="1"/>
  <c r="D168" i="9"/>
  <c r="E168" i="9" l="1"/>
  <c r="D169" i="9"/>
  <c r="E169" i="9" l="1"/>
  <c r="D170" i="9"/>
  <c r="E170" i="9" l="1"/>
  <c r="D171" i="9"/>
  <c r="E171" i="9" l="1"/>
  <c r="D172" i="9"/>
  <c r="D173" i="9" l="1"/>
  <c r="E172" i="9"/>
  <c r="D174" i="9" l="1"/>
  <c r="E173" i="9"/>
  <c r="E174" i="9" l="1"/>
  <c r="D175" i="9"/>
  <c r="D176" i="9" l="1"/>
  <c r="E175" i="9"/>
  <c r="E176" i="9" l="1"/>
  <c r="D177" i="9"/>
  <c r="E177" i="9" l="1"/>
  <c r="D178" i="9"/>
  <c r="D179" i="9" l="1"/>
  <c r="E178" i="9"/>
  <c r="E179" i="9" l="1"/>
  <c r="D180" i="9"/>
  <c r="E180" i="9" l="1"/>
  <c r="D181" i="9"/>
  <c r="D182" i="9" l="1"/>
  <c r="E181" i="9"/>
  <c r="D183" i="9" l="1"/>
  <c r="E182" i="9"/>
  <c r="E183" i="9" l="1"/>
  <c r="D184" i="9"/>
  <c r="D185" i="9" l="1"/>
  <c r="E184" i="9"/>
  <c r="E185" i="9" l="1"/>
  <c r="D186" i="9"/>
  <c r="E186" i="9" l="1"/>
  <c r="D187" i="9"/>
  <c r="E187" i="9" l="1"/>
  <c r="D188" i="9"/>
  <c r="E188" i="9" l="1"/>
  <c r="D189" i="9"/>
  <c r="D190" i="9" l="1"/>
  <c r="E189" i="9"/>
  <c r="D191" i="9" l="1"/>
  <c r="E190" i="9"/>
  <c r="E191" i="9" l="1"/>
  <c r="D192" i="9"/>
  <c r="E192" i="9" l="1"/>
  <c r="D193" i="9"/>
  <c r="E193" i="9" l="1"/>
  <c r="D194" i="9"/>
  <c r="E194" i="9" l="1"/>
  <c r="D195" i="9"/>
  <c r="E195" i="9" l="1"/>
  <c r="D196" i="9"/>
  <c r="D197" i="9" l="1"/>
  <c r="E196" i="9"/>
  <c r="D198" i="9" l="1"/>
  <c r="E197" i="9"/>
  <c r="E198" i="9" l="1"/>
  <c r="D199" i="9"/>
  <c r="D200" i="9" l="1"/>
  <c r="E199" i="9"/>
  <c r="E200" i="9" l="1"/>
  <c r="D201" i="9"/>
  <c r="E201" i="9" l="1"/>
  <c r="D202" i="9"/>
  <c r="D203" i="9" l="1"/>
  <c r="E202" i="9"/>
  <c r="E203" i="9" l="1"/>
  <c r="D204" i="9"/>
  <c r="E204" i="9" l="1"/>
  <c r="D205" i="9"/>
  <c r="D206" i="9" l="1"/>
  <c r="E205" i="9"/>
  <c r="E206" i="9" l="1"/>
  <c r="D207" i="9"/>
  <c r="E207" i="9" l="1"/>
  <c r="D208" i="9"/>
  <c r="D209" i="9" l="1"/>
  <c r="E208" i="9"/>
  <c r="E209" i="9" l="1"/>
  <c r="D210" i="9"/>
  <c r="E210" i="9" l="1"/>
  <c r="D211" i="9"/>
  <c r="E211" i="9" l="1"/>
  <c r="D212" i="9"/>
  <c r="E212" i="9" l="1"/>
  <c r="D213" i="9"/>
  <c r="D214" i="9" l="1"/>
  <c r="E213" i="9"/>
  <c r="D215" i="9" l="1"/>
  <c r="E214" i="9"/>
  <c r="E215" i="9" l="1"/>
  <c r="D216" i="9"/>
  <c r="E216" i="9" l="1"/>
  <c r="D217" i="9"/>
  <c r="E217" i="9" l="1"/>
  <c r="D218" i="9"/>
  <c r="E218" i="9" l="1"/>
  <c r="D219" i="9"/>
  <c r="E219" i="9" l="1"/>
  <c r="D220" i="9"/>
  <c r="D221" i="9" l="1"/>
  <c r="E220" i="9"/>
  <c r="E221" i="9" l="1"/>
  <c r="D222" i="9"/>
  <c r="E222" i="9" l="1"/>
  <c r="D223" i="9"/>
  <c r="D224" i="9" l="1"/>
  <c r="E223" i="9"/>
  <c r="E224" i="9" l="1"/>
  <c r="D225" i="9"/>
  <c r="E225" i="9" l="1"/>
  <c r="D226" i="9"/>
  <c r="D227" i="9" l="1"/>
  <c r="E226" i="9"/>
  <c r="E227" i="9" l="1"/>
  <c r="D228" i="9"/>
  <c r="E228" i="9" l="1"/>
  <c r="D229" i="9"/>
  <c r="D230" i="9" l="1"/>
  <c r="E229" i="9"/>
  <c r="D231" i="9" l="1"/>
  <c r="E230" i="9"/>
  <c r="E231" i="9" l="1"/>
  <c r="D232" i="9"/>
  <c r="D233" i="9" l="1"/>
  <c r="E232" i="9"/>
  <c r="E233" i="9" l="1"/>
  <c r="D234" i="9"/>
  <c r="E234" i="9" l="1"/>
  <c r="D235" i="9"/>
  <c r="E235" i="9" l="1"/>
  <c r="D236" i="9"/>
  <c r="E236" i="9" l="1"/>
  <c r="D237" i="9"/>
  <c r="D238" i="9" l="1"/>
  <c r="E237" i="9"/>
  <c r="D239" i="9" l="1"/>
  <c r="E238" i="9"/>
  <c r="E239" i="9" l="1"/>
  <c r="D240" i="9"/>
  <c r="E240" i="9" l="1"/>
  <c r="D241" i="9"/>
  <c r="E241" i="9" l="1"/>
  <c r="D242" i="9"/>
  <c r="E242" i="9" l="1"/>
  <c r="D243" i="9"/>
  <c r="E243" i="9" l="1"/>
  <c r="D244" i="9"/>
  <c r="D245" i="9" l="1"/>
  <c r="E244" i="9"/>
  <c r="D246" i="9" l="1"/>
  <c r="E245" i="9"/>
  <c r="E246" i="9" l="1"/>
  <c r="D247" i="9"/>
  <c r="D248" i="9" l="1"/>
  <c r="E247" i="9"/>
  <c r="E248" i="9" l="1"/>
  <c r="D249" i="9"/>
  <c r="E249" i="9" l="1"/>
  <c r="D250" i="9"/>
  <c r="D251" i="9" l="1"/>
  <c r="E250" i="9"/>
  <c r="E251" i="9" l="1"/>
  <c r="D252" i="9"/>
  <c r="E252" i="9" l="1"/>
  <c r="D253" i="9"/>
  <c r="D254" i="9" l="1"/>
  <c r="E253" i="9"/>
  <c r="E254" i="9" l="1"/>
  <c r="D255" i="9"/>
  <c r="E255" i="9" l="1"/>
  <c r="D256" i="9"/>
  <c r="D257" i="9" l="1"/>
  <c r="E256" i="9"/>
  <c r="E257" i="9" l="1"/>
  <c r="D258" i="9"/>
  <c r="E258" i="9" l="1"/>
  <c r="D259" i="9"/>
  <c r="E259" i="9" l="1"/>
  <c r="D260" i="9"/>
  <c r="E260" i="9" l="1"/>
  <c r="D261" i="9"/>
  <c r="E261" i="9" l="1"/>
  <c r="D262" i="9"/>
  <c r="D263" i="9" l="1"/>
  <c r="E262" i="9"/>
  <c r="E263" i="9" l="1"/>
  <c r="D264" i="9"/>
  <c r="E264" i="9" l="1"/>
  <c r="D265" i="9"/>
  <c r="E265" i="9" l="1"/>
  <c r="D266" i="9"/>
  <c r="E266" i="9" l="1"/>
  <c r="D267" i="9"/>
  <c r="E267" i="9" l="1"/>
  <c r="D268" i="9"/>
  <c r="D269" i="9" l="1"/>
  <c r="E268" i="9"/>
  <c r="E269" i="9" l="1"/>
  <c r="D270" i="9"/>
  <c r="E270" i="9" l="1"/>
  <c r="D271" i="9"/>
  <c r="D272" i="9" l="1"/>
  <c r="E271" i="9"/>
  <c r="D273" i="9" l="1"/>
  <c r="E272" i="9"/>
  <c r="E273" i="9" l="1"/>
  <c r="D274" i="9"/>
  <c r="D275" i="9" l="1"/>
  <c r="E274" i="9"/>
  <c r="E275" i="9" l="1"/>
  <c r="D276" i="9"/>
  <c r="E276" i="9" l="1"/>
  <c r="D277" i="9"/>
  <c r="D278" i="9" l="1"/>
  <c r="E277" i="9"/>
  <c r="E278" i="9" l="1"/>
  <c r="D279" i="9"/>
  <c r="E279" i="9" l="1"/>
  <c r="D280" i="9"/>
  <c r="D281" i="9" l="1"/>
  <c r="E280" i="9"/>
  <c r="E281" i="9" l="1"/>
  <c r="D282" i="9"/>
  <c r="E282" i="9" l="1"/>
  <c r="D283" i="9"/>
  <c r="E283" i="9" l="1"/>
  <c r="D284" i="9"/>
  <c r="E284" i="9" l="1"/>
  <c r="D285" i="9"/>
  <c r="D286" i="9" l="1"/>
  <c r="E285" i="9"/>
  <c r="D287" i="9" l="1"/>
  <c r="E286" i="9"/>
  <c r="E287" i="9" l="1"/>
  <c r="D288" i="9"/>
  <c r="E288" i="9" l="1"/>
  <c r="D289" i="9"/>
  <c r="D290" i="9" l="1"/>
  <c r="E289" i="9"/>
  <c r="E290" i="9" l="1"/>
  <c r="D291" i="9"/>
  <c r="E291" i="9" l="1"/>
  <c r="D292" i="9"/>
  <c r="D293" i="9" l="1"/>
  <c r="E292" i="9"/>
  <c r="D294" i="9" l="1"/>
  <c r="E293" i="9"/>
  <c r="E294" i="9" l="1"/>
  <c r="D295" i="9"/>
  <c r="D296" i="9" l="1"/>
  <c r="E295" i="9"/>
  <c r="D297" i="9" l="1"/>
  <c r="E296" i="9"/>
  <c r="E297" i="9" l="1"/>
  <c r="D298" i="9"/>
  <c r="D299" i="9" l="1"/>
  <c r="E298" i="9"/>
  <c r="E299" i="9" l="1"/>
  <c r="D300" i="9"/>
  <c r="E300" i="9" l="1"/>
  <c r="D301" i="9"/>
  <c r="D302" i="9" l="1"/>
  <c r="E301" i="9"/>
  <c r="E302" i="9" l="1"/>
  <c r="D303" i="9"/>
  <c r="E303" i="9" s="1"/>
</calcChain>
</file>

<file path=xl/sharedStrings.xml><?xml version="1.0" encoding="utf-8"?>
<sst xmlns="http://schemas.openxmlformats.org/spreadsheetml/2006/main" count="286" uniqueCount="157">
  <si>
    <t>ObjectId</t>
  </si>
  <si>
    <t>TrainingHelmet</t>
  </si>
  <si>
    <t>Weight</t>
  </si>
  <si>
    <t>Cost</t>
  </si>
  <si>
    <t>Value</t>
  </si>
  <si>
    <t>Wear</t>
  </si>
  <si>
    <t>Head</t>
  </si>
  <si>
    <t>TinEspaliers</t>
  </si>
  <si>
    <t>Shoulders</t>
  </si>
  <si>
    <t>TinBuckler</t>
  </si>
  <si>
    <t>Shield</t>
  </si>
  <si>
    <t>SilverStud</t>
  </si>
  <si>
    <t>Ear</t>
  </si>
  <si>
    <t>SilverRing</t>
  </si>
  <si>
    <t>Finger</t>
  </si>
  <si>
    <t>SilverBracelet</t>
  </si>
  <si>
    <t>Wrist</t>
  </si>
  <si>
    <t>SilverAnklet</t>
  </si>
  <si>
    <t>Ankle</t>
  </si>
  <si>
    <t>ShabbySandals</t>
  </si>
  <si>
    <t>Feet</t>
  </si>
  <si>
    <t>LeatherGreaves</t>
  </si>
  <si>
    <t>Legs</t>
  </si>
  <si>
    <t>LeatherBreastplate</t>
  </si>
  <si>
    <t>Chest</t>
  </si>
  <si>
    <t>LeatherBracers</t>
  </si>
  <si>
    <t>Arms</t>
  </si>
  <si>
    <t>LeatherBelt</t>
  </si>
  <si>
    <t>Waist</t>
  </si>
  <si>
    <t>KidskinGloves</t>
  </si>
  <si>
    <t>Hands</t>
  </si>
  <si>
    <t>HorsehairCloak</t>
  </si>
  <si>
    <t>Back</t>
  </si>
  <si>
    <t>GoldStud</t>
  </si>
  <si>
    <t>GoldRing</t>
  </si>
  <si>
    <t>GoldBracelet</t>
  </si>
  <si>
    <t>GoldAnklet</t>
  </si>
  <si>
    <t>GoatskinGorget</t>
  </si>
  <si>
    <t>Neck</t>
  </si>
  <si>
    <t>Damage</t>
  </si>
  <si>
    <t>Type</t>
  </si>
  <si>
    <t>Sword</t>
  </si>
  <si>
    <t>SmallClub</t>
  </si>
  <si>
    <t>Club</t>
  </si>
  <si>
    <t>LongSword</t>
  </si>
  <si>
    <t>Staff</t>
  </si>
  <si>
    <t>SignWeaponShop</t>
  </si>
  <si>
    <t>SignJewelryShop</t>
  </si>
  <si>
    <t>SignArmorShop</t>
  </si>
  <si>
    <t>JesseStatue</t>
  </si>
  <si>
    <t>RatEar</t>
  </si>
  <si>
    <t>RatTail</t>
  </si>
  <si>
    <t>RatWhisker</t>
  </si>
  <si>
    <t>Level</t>
  </si>
  <si>
    <t>Hit Points</t>
  </si>
  <si>
    <t>Exp</t>
  </si>
  <si>
    <t>* * * * * Per Level * * * * *</t>
  </si>
  <si>
    <t>Protection</t>
  </si>
  <si>
    <t>Armor</t>
  </si>
  <si>
    <t>- Dmg</t>
  </si>
  <si>
    <t>Maximum Armor Class</t>
  </si>
  <si>
    <t>Maximum Damage Reduction Percent</t>
  </si>
  <si>
    <t>Player Armor Class Magic Number</t>
  </si>
  <si>
    <t>Player</t>
  </si>
  <si>
    <t>Class</t>
  </si>
  <si>
    <t>%</t>
  </si>
  <si>
    <t>Reduction</t>
  </si>
  <si>
    <t>Sash</t>
  </si>
  <si>
    <t>TrainingTunic</t>
  </si>
  <si>
    <t>ClothGorget</t>
  </si>
  <si>
    <t>ClothBracers</t>
  </si>
  <si>
    <t>ClothLeggings</t>
  </si>
  <si>
    <t>SmallShield</t>
  </si>
  <si>
    <t>ShoulderPads</t>
  </si>
  <si>
    <t>ClothGloves</t>
  </si>
  <si>
    <t>TornCloak</t>
  </si>
  <si>
    <t>TinHelmet</t>
  </si>
  <si>
    <t>LeatherSandals</t>
  </si>
  <si>
    <t>TinyDagger</t>
  </si>
  <si>
    <t>Dagger</t>
  </si>
  <si>
    <t>Spear</t>
  </si>
  <si>
    <t>LongStick</t>
  </si>
  <si>
    <t>CrackedSpear</t>
  </si>
  <si>
    <t>Hammer</t>
  </si>
  <si>
    <t>SimpleHammer</t>
  </si>
  <si>
    <t>Axe</t>
  </si>
  <si>
    <t>RustySword</t>
  </si>
  <si>
    <t>BluntAxe</t>
  </si>
  <si>
    <t>LeatherGorget</t>
  </si>
  <si>
    <t>GoatskinCloak</t>
  </si>
  <si>
    <t>GoatskinGloves</t>
  </si>
  <si>
    <t>GoatskinBelt</t>
  </si>
  <si>
    <t>GoatskinBracers</t>
  </si>
  <si>
    <t>GoatskinBreastplate</t>
  </si>
  <si>
    <t>GoatskinGreaves</t>
  </si>
  <si>
    <t>GoatskinSandals</t>
  </si>
  <si>
    <t>GoatskinBuckler</t>
  </si>
  <si>
    <t>GoatskinHelmet</t>
  </si>
  <si>
    <t>LeatherCloak</t>
  </si>
  <si>
    <t>LeatherGloves</t>
  </si>
  <si>
    <t>LeatherBuckler</t>
  </si>
  <si>
    <t>GoatskinShoulderArmor</t>
  </si>
  <si>
    <t>LeatherShoulderArmor</t>
  </si>
  <si>
    <t>LeatherHelmet</t>
  </si>
  <si>
    <t>PaddedLeatherGorget</t>
  </si>
  <si>
    <t>PaddedLeatherBelt</t>
  </si>
  <si>
    <t>PaddedLeatherBracers</t>
  </si>
  <si>
    <t>PaddedShoulderArmor</t>
  </si>
  <si>
    <t>PaddedLeatherHelmet</t>
  </si>
  <si>
    <t>ThickLeatherBuckler</t>
  </si>
  <si>
    <t>PaddedLeatherCloak</t>
  </si>
  <si>
    <t>PaddedLeatherGreaves</t>
  </si>
  <si>
    <t>ThickLeatherSandals</t>
  </si>
  <si>
    <t>ThickLeatherGloves</t>
  </si>
  <si>
    <t>CraftedLeatherGorget</t>
  </si>
  <si>
    <t>CraftedLeatherCloak</t>
  </si>
  <si>
    <t>CraftedLeatherGloves</t>
  </si>
  <si>
    <t>CraftedLeatherBelt</t>
  </si>
  <si>
    <t>CraftedLeatherBracers</t>
  </si>
  <si>
    <t>PaddedLeatherBreastplate</t>
  </si>
  <si>
    <t>CraftedLeatherBreastplate</t>
  </si>
  <si>
    <t>CraftedLeatherGreaves</t>
  </si>
  <si>
    <t>CraftedLeatherSandals</t>
  </si>
  <si>
    <t>CraftedLeatherBuckler</t>
  </si>
  <si>
    <t>CraftedShoulderArmor</t>
  </si>
  <si>
    <t>CraftedLeatherHelmet</t>
  </si>
  <si>
    <t>Pct</t>
  </si>
  <si>
    <t>No current plans for this stuff</t>
  </si>
  <si>
    <t>Mob Hit Points per Level</t>
  </si>
  <si>
    <t>How many fight rounds do you want</t>
  </si>
  <si>
    <t>Cost Factor</t>
  </si>
  <si>
    <t>Damage Factor Percent</t>
  </si>
  <si>
    <t>BestGorget</t>
  </si>
  <si>
    <t>BestCloak</t>
  </si>
  <si>
    <t>BestGloves</t>
  </si>
  <si>
    <t>BestBelt</t>
  </si>
  <si>
    <t>BestBracers</t>
  </si>
  <si>
    <t>BestBreastplate</t>
  </si>
  <si>
    <t>BestGreaves</t>
  </si>
  <si>
    <t>BestSandals</t>
  </si>
  <si>
    <t>BestBuckler</t>
  </si>
  <si>
    <t>BestArmor</t>
  </si>
  <si>
    <t>BestHelmet</t>
  </si>
  <si>
    <t>Short Sword</t>
  </si>
  <si>
    <t>Cudgel</t>
  </si>
  <si>
    <t>Dirk</t>
  </si>
  <si>
    <t>KindlingAxe</t>
  </si>
  <si>
    <t>Mallet</t>
  </si>
  <si>
    <t>ShortSpear</t>
  </si>
  <si>
    <t>CarvedClub</t>
  </si>
  <si>
    <t>BoneDagger</t>
  </si>
  <si>
    <t>ShepherdStaff</t>
  </si>
  <si>
    <t>WarHammer</t>
  </si>
  <si>
    <t>CopperSpear</t>
  </si>
  <si>
    <t>ShodStaff</t>
  </si>
  <si>
    <t>BronzeSword</t>
  </si>
  <si>
    <t>BattleAxe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</si>
</sst>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1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1688-26B0-4697-8927-7864B58270CF}">
  <dimension ref="A1:I34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0.7109375" customWidth="1"/>
    <col min="8" max="8" width="35.5703125" customWidth="1"/>
  </cols>
  <sheetData>
    <row r="1" spans="1:9" x14ac:dyDescent="0.2">
      <c r="A1" s="1" t="s">
        <v>0</v>
      </c>
      <c r="B1" s="2" t="s">
        <v>2</v>
      </c>
      <c r="C1" s="2" t="s">
        <v>3</v>
      </c>
      <c r="D1" s="2" t="s">
        <v>39</v>
      </c>
      <c r="E1" s="1" t="s">
        <v>40</v>
      </c>
      <c r="F1" s="2" t="s">
        <v>53</v>
      </c>
      <c r="H1" s="13" t="s">
        <v>128</v>
      </c>
      <c r="I1">
        <f>+'Mob Chart'!B3</f>
        <v>31</v>
      </c>
    </row>
    <row r="2" spans="1:9" x14ac:dyDescent="0.2">
      <c r="A2" t="s">
        <v>87</v>
      </c>
      <c r="B2">
        <v>1</v>
      </c>
      <c r="C2" s="14">
        <f>(+D2^$I$3)*(F2-1)</f>
        <v>17.782794100389236</v>
      </c>
      <c r="D2">
        <f t="shared" ref="D2:D8" si="0">FLOOR(FLOOR(+F2*$I$1/$I$2,1)+FLOOR(+F2*$I$1/$I$2,1)*$I$4/100,1)</f>
        <v>10</v>
      </c>
      <c r="E2" t="s">
        <v>85</v>
      </c>
      <c r="F2">
        <v>2</v>
      </c>
      <c r="H2" s="1" t="s">
        <v>129</v>
      </c>
      <c r="I2">
        <v>7</v>
      </c>
    </row>
    <row r="3" spans="1:9" x14ac:dyDescent="0.2">
      <c r="A3" t="s">
        <v>42</v>
      </c>
      <c r="B3">
        <v>1</v>
      </c>
      <c r="C3" s="14">
        <f t="shared" ref="C3:C34" si="1">(+D3^$I$3)*(F3-1)</f>
        <v>17.782794100389236</v>
      </c>
      <c r="D3">
        <f t="shared" si="0"/>
        <v>10</v>
      </c>
      <c r="E3" t="s">
        <v>43</v>
      </c>
      <c r="F3">
        <v>2</v>
      </c>
      <c r="H3" s="1" t="s">
        <v>130</v>
      </c>
      <c r="I3">
        <v>1.25</v>
      </c>
    </row>
    <row r="4" spans="1:9" x14ac:dyDescent="0.2">
      <c r="A4" t="s">
        <v>78</v>
      </c>
      <c r="B4">
        <v>1</v>
      </c>
      <c r="C4" s="14">
        <f t="shared" si="1"/>
        <v>17.782794100389236</v>
      </c>
      <c r="D4">
        <f t="shared" si="0"/>
        <v>10</v>
      </c>
      <c r="E4" t="s">
        <v>79</v>
      </c>
      <c r="F4">
        <v>2</v>
      </c>
      <c r="H4" s="1" t="s">
        <v>131</v>
      </c>
      <c r="I4">
        <v>35</v>
      </c>
    </row>
    <row r="5" spans="1:9" x14ac:dyDescent="0.2">
      <c r="A5" t="s">
        <v>84</v>
      </c>
      <c r="B5">
        <v>1</v>
      </c>
      <c r="C5" s="14">
        <f t="shared" si="1"/>
        <v>17.782794100389236</v>
      </c>
      <c r="D5">
        <f t="shared" si="0"/>
        <v>10</v>
      </c>
      <c r="E5" t="s">
        <v>83</v>
      </c>
      <c r="F5">
        <v>2</v>
      </c>
    </row>
    <row r="6" spans="1:9" x14ac:dyDescent="0.2">
      <c r="A6" t="s">
        <v>82</v>
      </c>
      <c r="B6">
        <v>1</v>
      </c>
      <c r="C6" s="14">
        <f t="shared" si="1"/>
        <v>17.782794100389236</v>
      </c>
      <c r="D6">
        <f t="shared" si="0"/>
        <v>10</v>
      </c>
      <c r="E6" t="s">
        <v>80</v>
      </c>
      <c r="F6">
        <v>2</v>
      </c>
    </row>
    <row r="7" spans="1:9" x14ac:dyDescent="0.2">
      <c r="A7" t="s">
        <v>81</v>
      </c>
      <c r="B7">
        <v>1</v>
      </c>
      <c r="C7" s="14">
        <f t="shared" si="1"/>
        <v>17.782794100389236</v>
      </c>
      <c r="D7">
        <f t="shared" si="0"/>
        <v>10</v>
      </c>
      <c r="E7" t="s">
        <v>45</v>
      </c>
      <c r="F7">
        <v>2</v>
      </c>
    </row>
    <row r="8" spans="1:9" x14ac:dyDescent="0.2">
      <c r="A8" t="s">
        <v>86</v>
      </c>
      <c r="B8">
        <v>1</v>
      </c>
      <c r="C8" s="14">
        <f t="shared" si="1"/>
        <v>17.782794100389236</v>
      </c>
      <c r="D8">
        <f t="shared" si="0"/>
        <v>10</v>
      </c>
      <c r="E8" t="s">
        <v>41</v>
      </c>
      <c r="F8">
        <v>2</v>
      </c>
    </row>
    <row r="9" spans="1:9" x14ac:dyDescent="0.2">
      <c r="C9" s="14"/>
    </row>
    <row r="10" spans="1:9" x14ac:dyDescent="0.2">
      <c r="A10" t="s">
        <v>146</v>
      </c>
      <c r="B10">
        <v>1</v>
      </c>
      <c r="C10" s="14">
        <f t="shared" si="1"/>
        <v>269.18911130430564</v>
      </c>
      <c r="D10">
        <f t="shared" ref="D10:D16" si="2">FLOOR(FLOOR(+F10*$I$1/$I$2,1)+FLOOR(+F10*$I$1/$I$2,1)*$I$4/100,1)</f>
        <v>29</v>
      </c>
      <c r="E10" t="s">
        <v>85</v>
      </c>
      <c r="F10">
        <v>5</v>
      </c>
    </row>
    <row r="11" spans="1:9" x14ac:dyDescent="0.2">
      <c r="A11" t="s">
        <v>144</v>
      </c>
      <c r="B11">
        <v>1</v>
      </c>
      <c r="C11" s="14">
        <f t="shared" si="1"/>
        <v>269.18911130430564</v>
      </c>
      <c r="D11">
        <f t="shared" si="2"/>
        <v>29</v>
      </c>
      <c r="E11" t="s">
        <v>43</v>
      </c>
      <c r="F11">
        <v>5</v>
      </c>
    </row>
    <row r="12" spans="1:9" x14ac:dyDescent="0.2">
      <c r="A12" t="s">
        <v>145</v>
      </c>
      <c r="B12">
        <v>1</v>
      </c>
      <c r="C12" s="14">
        <f t="shared" si="1"/>
        <v>269.18911130430564</v>
      </c>
      <c r="D12">
        <f t="shared" si="2"/>
        <v>29</v>
      </c>
      <c r="E12" t="s">
        <v>79</v>
      </c>
      <c r="F12">
        <v>5</v>
      </c>
    </row>
    <row r="13" spans="1:9" x14ac:dyDescent="0.2">
      <c r="A13" t="s">
        <v>147</v>
      </c>
      <c r="B13">
        <v>1</v>
      </c>
      <c r="C13" s="14">
        <f t="shared" si="1"/>
        <v>269.18911130430564</v>
      </c>
      <c r="D13">
        <f t="shared" si="2"/>
        <v>29</v>
      </c>
      <c r="E13" t="s">
        <v>83</v>
      </c>
      <c r="F13">
        <v>5</v>
      </c>
    </row>
    <row r="14" spans="1:9" x14ac:dyDescent="0.2">
      <c r="A14" t="s">
        <v>148</v>
      </c>
      <c r="B14">
        <v>1</v>
      </c>
      <c r="C14" s="14">
        <f t="shared" si="1"/>
        <v>269.18911130430564</v>
      </c>
      <c r="D14">
        <f t="shared" si="2"/>
        <v>29</v>
      </c>
      <c r="E14" t="s">
        <v>80</v>
      </c>
      <c r="F14">
        <v>5</v>
      </c>
    </row>
    <row r="15" spans="1:9" x14ac:dyDescent="0.2">
      <c r="A15" t="s">
        <v>151</v>
      </c>
      <c r="B15">
        <v>1</v>
      </c>
      <c r="C15" s="14">
        <f t="shared" si="1"/>
        <v>269.18911130430564</v>
      </c>
      <c r="D15">
        <f t="shared" si="2"/>
        <v>29</v>
      </c>
      <c r="E15" t="s">
        <v>45</v>
      </c>
      <c r="F15">
        <v>5</v>
      </c>
    </row>
    <row r="16" spans="1:9" x14ac:dyDescent="0.2">
      <c r="A16" t="s">
        <v>143</v>
      </c>
      <c r="B16">
        <v>1</v>
      </c>
      <c r="C16" s="14">
        <f t="shared" si="1"/>
        <v>269.18911130430564</v>
      </c>
      <c r="D16">
        <f t="shared" si="2"/>
        <v>29</v>
      </c>
      <c r="E16" t="s">
        <v>41</v>
      </c>
      <c r="F16">
        <v>5</v>
      </c>
    </row>
    <row r="17" spans="1:6" x14ac:dyDescent="0.2">
      <c r="C17" s="14"/>
    </row>
    <row r="18" spans="1:6" x14ac:dyDescent="0.2">
      <c r="A18" t="s">
        <v>85</v>
      </c>
      <c r="B18">
        <v>1</v>
      </c>
      <c r="C18" s="14">
        <f t="shared" si="1"/>
        <v>1471.6601293147753</v>
      </c>
      <c r="D18">
        <f>FLOOR(FLOOR(+F18*$I$1/$I$2,1)+FLOOR(+F18*$I$1/$I$2,1)*$I$4/100,1)</f>
        <v>59</v>
      </c>
      <c r="E18" t="s">
        <v>85</v>
      </c>
      <c r="F18">
        <v>10</v>
      </c>
    </row>
    <row r="19" spans="1:6" x14ac:dyDescent="0.2">
      <c r="A19" t="s">
        <v>43</v>
      </c>
      <c r="B19">
        <v>1</v>
      </c>
      <c r="C19" s="14">
        <f t="shared" si="1"/>
        <v>1471.6601293147753</v>
      </c>
      <c r="D19">
        <f t="shared" ref="D19:D24" si="3">FLOOR(FLOOR(+F19*$I$1/$I$2,1)+FLOOR(+F19*$I$1/$I$2,1)*$I$4/100,1)</f>
        <v>59</v>
      </c>
      <c r="E19" t="s">
        <v>43</v>
      </c>
      <c r="F19">
        <v>10</v>
      </c>
    </row>
    <row r="20" spans="1:6" x14ac:dyDescent="0.2">
      <c r="A20" t="s">
        <v>79</v>
      </c>
      <c r="B20">
        <v>1</v>
      </c>
      <c r="C20" s="14">
        <f t="shared" si="1"/>
        <v>1471.6601293147753</v>
      </c>
      <c r="D20">
        <f t="shared" si="3"/>
        <v>59</v>
      </c>
      <c r="E20" t="s">
        <v>79</v>
      </c>
      <c r="F20">
        <v>10</v>
      </c>
    </row>
    <row r="21" spans="1:6" x14ac:dyDescent="0.2">
      <c r="A21" t="s">
        <v>83</v>
      </c>
      <c r="B21">
        <v>1</v>
      </c>
      <c r="C21" s="14">
        <f t="shared" si="1"/>
        <v>1471.6601293147753</v>
      </c>
      <c r="D21">
        <f t="shared" si="3"/>
        <v>59</v>
      </c>
      <c r="E21" t="s">
        <v>83</v>
      </c>
      <c r="F21">
        <v>10</v>
      </c>
    </row>
    <row r="22" spans="1:6" x14ac:dyDescent="0.2">
      <c r="A22" t="s">
        <v>80</v>
      </c>
      <c r="B22">
        <v>1</v>
      </c>
      <c r="C22" s="14">
        <f t="shared" si="1"/>
        <v>1471.6601293147753</v>
      </c>
      <c r="D22">
        <f t="shared" si="3"/>
        <v>59</v>
      </c>
      <c r="E22" t="s">
        <v>80</v>
      </c>
      <c r="F22">
        <v>10</v>
      </c>
    </row>
    <row r="23" spans="1:6" x14ac:dyDescent="0.2">
      <c r="A23" t="s">
        <v>45</v>
      </c>
      <c r="B23">
        <v>1</v>
      </c>
      <c r="C23" s="14">
        <f t="shared" si="1"/>
        <v>1471.6601293147753</v>
      </c>
      <c r="D23">
        <f t="shared" si="3"/>
        <v>59</v>
      </c>
      <c r="E23" t="s">
        <v>45</v>
      </c>
      <c r="F23">
        <v>10</v>
      </c>
    </row>
    <row r="24" spans="1:6" x14ac:dyDescent="0.2">
      <c r="A24" t="s">
        <v>41</v>
      </c>
      <c r="B24">
        <v>1</v>
      </c>
      <c r="C24" s="14">
        <f t="shared" si="1"/>
        <v>1471.6601293147753</v>
      </c>
      <c r="D24">
        <f t="shared" si="3"/>
        <v>59</v>
      </c>
      <c r="E24" t="s">
        <v>41</v>
      </c>
      <c r="F24">
        <v>10</v>
      </c>
    </row>
    <row r="25" spans="1:6" x14ac:dyDescent="0.2">
      <c r="C25" s="14"/>
    </row>
    <row r="26" spans="1:6" x14ac:dyDescent="0.2">
      <c r="A26" t="s">
        <v>156</v>
      </c>
      <c r="B26">
        <v>1</v>
      </c>
      <c r="C26" s="14">
        <f t="shared" si="1"/>
        <v>3827.0624049283538</v>
      </c>
      <c r="D26">
        <f>FLOOR(FLOOR(+F26*$I$1/$I$2,1)+FLOOR(+F26*$I$1/$I$2,1)*$I$4/100,1)</f>
        <v>89</v>
      </c>
      <c r="E26" t="s">
        <v>85</v>
      </c>
      <c r="F26">
        <v>15</v>
      </c>
    </row>
    <row r="27" spans="1:6" x14ac:dyDescent="0.2">
      <c r="A27" t="s">
        <v>149</v>
      </c>
      <c r="B27">
        <v>1</v>
      </c>
      <c r="C27" s="14">
        <f t="shared" ref="C27:C32" si="4">(+D27^$I$3)*(F27-1)</f>
        <v>3827.0624049283538</v>
      </c>
      <c r="D27">
        <f t="shared" ref="D27:D32" si="5">FLOOR(FLOOR(+F27*$I$1/$I$2,1)+FLOOR(+F27*$I$1/$I$2,1)*$I$4/100,1)</f>
        <v>89</v>
      </c>
      <c r="E27" t="s">
        <v>43</v>
      </c>
      <c r="F27">
        <v>15</v>
      </c>
    </row>
    <row r="28" spans="1:6" x14ac:dyDescent="0.2">
      <c r="A28" t="s">
        <v>150</v>
      </c>
      <c r="B28">
        <v>1</v>
      </c>
      <c r="C28" s="14">
        <f t="shared" si="4"/>
        <v>3827.0624049283538</v>
      </c>
      <c r="D28">
        <f t="shared" si="5"/>
        <v>89</v>
      </c>
      <c r="E28" t="s">
        <v>79</v>
      </c>
      <c r="F28">
        <v>15</v>
      </c>
    </row>
    <row r="29" spans="1:6" x14ac:dyDescent="0.2">
      <c r="A29" t="s">
        <v>152</v>
      </c>
      <c r="B29">
        <v>1</v>
      </c>
      <c r="C29" s="14">
        <f t="shared" si="4"/>
        <v>3827.0624049283538</v>
      </c>
      <c r="D29">
        <f t="shared" si="5"/>
        <v>89</v>
      </c>
      <c r="E29" t="s">
        <v>83</v>
      </c>
      <c r="F29">
        <v>15</v>
      </c>
    </row>
    <row r="30" spans="1:6" x14ac:dyDescent="0.2">
      <c r="A30" t="s">
        <v>153</v>
      </c>
      <c r="B30">
        <v>1</v>
      </c>
      <c r="C30" s="14">
        <f t="shared" si="4"/>
        <v>3827.0624049283538</v>
      </c>
      <c r="D30">
        <f t="shared" si="5"/>
        <v>89</v>
      </c>
      <c r="E30" t="s">
        <v>80</v>
      </c>
      <c r="F30">
        <v>15</v>
      </c>
    </row>
    <row r="31" spans="1:6" x14ac:dyDescent="0.2">
      <c r="A31" t="s">
        <v>154</v>
      </c>
      <c r="B31">
        <v>1</v>
      </c>
      <c r="C31" s="14">
        <f t="shared" si="4"/>
        <v>3827.0624049283538</v>
      </c>
      <c r="D31">
        <f t="shared" si="5"/>
        <v>89</v>
      </c>
      <c r="E31" t="s">
        <v>45</v>
      </c>
      <c r="F31">
        <v>15</v>
      </c>
    </row>
    <row r="32" spans="1:6" x14ac:dyDescent="0.2">
      <c r="A32" t="s">
        <v>155</v>
      </c>
      <c r="B32">
        <v>1</v>
      </c>
      <c r="C32" s="14">
        <f t="shared" si="4"/>
        <v>3827.0624049283538</v>
      </c>
      <c r="D32">
        <f t="shared" si="5"/>
        <v>89</v>
      </c>
      <c r="E32" t="s">
        <v>41</v>
      </c>
      <c r="F32">
        <v>15</v>
      </c>
    </row>
    <row r="33" spans="1:6" x14ac:dyDescent="0.2">
      <c r="C33" s="14"/>
    </row>
    <row r="34" spans="1:6" x14ac:dyDescent="0.2">
      <c r="A34" t="s">
        <v>44</v>
      </c>
      <c r="B34">
        <v>1</v>
      </c>
      <c r="C34" s="14">
        <f t="shared" si="1"/>
        <v>18854.846486215203</v>
      </c>
      <c r="D34">
        <f>FLOOR(FLOOR(+F34*$I$1/$I$2,1)+FLOOR(+F34*$I$1/$I$2,1)*$I$4/100,1)</f>
        <v>178</v>
      </c>
      <c r="E34" t="s">
        <v>41</v>
      </c>
      <c r="F34">
        <v>30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EC92-7497-405D-B287-9994F08A318B}">
  <dimension ref="A1:F114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4.140625" customWidth="1"/>
    <col min="3" max="3" width="10.140625" bestFit="1" customWidth="1"/>
    <col min="5" max="6" width="9.28515625" style="4" bestFit="1" customWidth="1"/>
  </cols>
  <sheetData>
    <row r="1" spans="1:6" x14ac:dyDescent="0.2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126</v>
      </c>
    </row>
    <row r="2" spans="1:6" x14ac:dyDescent="0.2">
      <c r="A2" t="s">
        <v>69</v>
      </c>
      <c r="B2">
        <v>1</v>
      </c>
      <c r="C2" s="14">
        <f t="shared" ref="C2:C12" si="0">+D2^1.2*$D$14</f>
        <v>9.186492863775948</v>
      </c>
      <c r="D2" s="11">
        <f t="shared" ref="D2:D12" si="1">+$D$14*F2/100</f>
        <v>0.80039999999999989</v>
      </c>
      <c r="E2" s="4" t="s">
        <v>38</v>
      </c>
      <c r="F2" s="10">
        <v>6.67</v>
      </c>
    </row>
    <row r="3" spans="1:6" x14ac:dyDescent="0.2">
      <c r="A3" t="s">
        <v>75</v>
      </c>
      <c r="B3">
        <v>2</v>
      </c>
      <c r="C3" s="14">
        <f t="shared" si="0"/>
        <v>12.427491842107571</v>
      </c>
      <c r="D3" s="11">
        <f t="shared" si="1"/>
        <v>1.0296000000000001</v>
      </c>
      <c r="E3" s="4" t="s">
        <v>32</v>
      </c>
      <c r="F3" s="10">
        <v>8.58</v>
      </c>
    </row>
    <row r="4" spans="1:6" x14ac:dyDescent="0.2">
      <c r="A4" t="s">
        <v>74</v>
      </c>
      <c r="B4">
        <v>1</v>
      </c>
      <c r="C4" s="14">
        <f t="shared" si="0"/>
        <v>6.1281175104388499</v>
      </c>
      <c r="D4" s="11">
        <f t="shared" si="1"/>
        <v>0.57119999999999993</v>
      </c>
      <c r="E4" s="4" t="s">
        <v>30</v>
      </c>
      <c r="F4" s="10">
        <v>4.76</v>
      </c>
    </row>
    <row r="5" spans="1:6" x14ac:dyDescent="0.2">
      <c r="A5" t="s">
        <v>67</v>
      </c>
      <c r="B5">
        <v>1</v>
      </c>
      <c r="C5" s="14">
        <f t="shared" si="0"/>
        <v>9.186492863775948</v>
      </c>
      <c r="D5" s="11">
        <f t="shared" si="1"/>
        <v>0.80039999999999989</v>
      </c>
      <c r="E5" s="4" t="s">
        <v>28</v>
      </c>
      <c r="F5" s="10">
        <v>6.67</v>
      </c>
    </row>
    <row r="6" spans="1:6" x14ac:dyDescent="0.2">
      <c r="A6" t="s">
        <v>70</v>
      </c>
      <c r="B6">
        <v>1</v>
      </c>
      <c r="C6" s="14">
        <f t="shared" si="0"/>
        <v>14.078717006939264</v>
      </c>
      <c r="D6" s="11">
        <f t="shared" si="1"/>
        <v>1.1423999999999999</v>
      </c>
      <c r="E6" s="4" t="s">
        <v>26</v>
      </c>
      <c r="F6" s="10">
        <v>9.52</v>
      </c>
    </row>
    <row r="7" spans="1:6" x14ac:dyDescent="0.2">
      <c r="A7" t="s">
        <v>68</v>
      </c>
      <c r="B7">
        <v>2</v>
      </c>
      <c r="C7" s="14">
        <f t="shared" si="0"/>
        <v>38.258829511464405</v>
      </c>
      <c r="D7" s="11">
        <f t="shared" si="1"/>
        <v>2.6279999999999997</v>
      </c>
      <c r="E7" s="4" t="s">
        <v>24</v>
      </c>
      <c r="F7" s="10">
        <v>21.9</v>
      </c>
    </row>
    <row r="8" spans="1:6" x14ac:dyDescent="0.2">
      <c r="A8" t="s">
        <v>71</v>
      </c>
      <c r="B8">
        <v>2</v>
      </c>
      <c r="C8" s="14">
        <f t="shared" si="0"/>
        <v>12.410112761036132</v>
      </c>
      <c r="D8" s="11">
        <f t="shared" si="1"/>
        <v>1.0284</v>
      </c>
      <c r="E8" s="4" t="s">
        <v>22</v>
      </c>
      <c r="F8" s="10">
        <v>8.57</v>
      </c>
    </row>
    <row r="9" spans="1:6" x14ac:dyDescent="0.2">
      <c r="A9" t="s">
        <v>19</v>
      </c>
      <c r="B9">
        <v>1</v>
      </c>
      <c r="C9" s="14">
        <f t="shared" si="0"/>
        <v>6.1281175104388499</v>
      </c>
      <c r="D9" s="11">
        <f t="shared" si="1"/>
        <v>0.57119999999999993</v>
      </c>
      <c r="E9" s="4" t="s">
        <v>20</v>
      </c>
      <c r="F9" s="10">
        <v>4.76</v>
      </c>
    </row>
    <row r="10" spans="1:6" x14ac:dyDescent="0.2">
      <c r="A10" t="s">
        <v>72</v>
      </c>
      <c r="B10">
        <v>2</v>
      </c>
      <c r="C10" s="14">
        <f t="shared" si="0"/>
        <v>19.295832251162643</v>
      </c>
      <c r="D10" s="11">
        <f t="shared" si="1"/>
        <v>1.4856</v>
      </c>
      <c r="E10" s="4" t="s">
        <v>10</v>
      </c>
      <c r="F10" s="10">
        <v>12.38</v>
      </c>
    </row>
    <row r="11" spans="1:6" x14ac:dyDescent="0.2">
      <c r="A11" t="s">
        <v>73</v>
      </c>
      <c r="B11">
        <v>1</v>
      </c>
      <c r="C11" s="14">
        <f t="shared" si="0"/>
        <v>9.186492863775948</v>
      </c>
      <c r="D11" s="11">
        <f t="shared" si="1"/>
        <v>0.80039999999999989</v>
      </c>
      <c r="E11" s="4" t="s">
        <v>8</v>
      </c>
      <c r="F11" s="10">
        <v>6.67</v>
      </c>
    </row>
    <row r="12" spans="1:6" x14ac:dyDescent="0.2">
      <c r="A12" t="s">
        <v>1</v>
      </c>
      <c r="B12">
        <v>1</v>
      </c>
      <c r="C12" s="14">
        <f t="shared" si="0"/>
        <v>14.078717006939264</v>
      </c>
      <c r="D12" s="11">
        <f t="shared" si="1"/>
        <v>1.1423999999999999</v>
      </c>
      <c r="E12" s="4" t="s">
        <v>6</v>
      </c>
      <c r="F12" s="10">
        <v>9.52</v>
      </c>
    </row>
    <row r="13" spans="1:6" x14ac:dyDescent="0.2">
      <c r="C13" s="14"/>
      <c r="F13" s="9">
        <f>SUM(F2:F12)</f>
        <v>100</v>
      </c>
    </row>
    <row r="14" spans="1:6" x14ac:dyDescent="0.2">
      <c r="B14">
        <f>SUM(B2:B12)</f>
        <v>15</v>
      </c>
      <c r="C14" s="14">
        <f>SUM(C2:C12)</f>
        <v>150.36541399185481</v>
      </c>
      <c r="D14">
        <f>+E14*300</f>
        <v>12</v>
      </c>
      <c r="E14" s="5">
        <v>0.04</v>
      </c>
      <c r="F14" s="6" t="s">
        <v>57</v>
      </c>
    </row>
    <row r="15" spans="1:6" x14ac:dyDescent="0.2">
      <c r="C15" s="14"/>
    </row>
    <row r="16" spans="1:6" x14ac:dyDescent="0.2">
      <c r="C16" s="14"/>
      <c r="E16" s="5">
        <f>+E14*0.6</f>
        <v>2.4E-2</v>
      </c>
      <c r="F16" s="7" t="s">
        <v>59</v>
      </c>
    </row>
    <row r="17" spans="1:6" x14ac:dyDescent="0.2">
      <c r="C17" s="14"/>
    </row>
    <row r="18" spans="1:6" x14ac:dyDescent="0.2">
      <c r="A18" t="s">
        <v>37</v>
      </c>
      <c r="B18">
        <v>1</v>
      </c>
      <c r="C18" s="14">
        <f>+D18^1.2*$D$30</f>
        <v>68.963256507983402</v>
      </c>
      <c r="D18" s="11">
        <f t="shared" ref="D18:D28" si="2">+$D$30*F18/100</f>
        <v>2.0009999999999999</v>
      </c>
      <c r="E18" s="4" t="s">
        <v>38</v>
      </c>
      <c r="F18" s="10">
        <v>6.67</v>
      </c>
    </row>
    <row r="19" spans="1:6" x14ac:dyDescent="0.2">
      <c r="A19" t="s">
        <v>89</v>
      </c>
      <c r="B19">
        <v>3</v>
      </c>
      <c r="C19" s="14">
        <f t="shared" ref="C19:C28" si="3">+D19^1.2*$D$30</f>
        <v>93.293525654126938</v>
      </c>
      <c r="D19" s="11">
        <f t="shared" si="2"/>
        <v>2.5739999999999998</v>
      </c>
      <c r="E19" s="4" t="s">
        <v>32</v>
      </c>
      <c r="F19" s="10">
        <v>8.58</v>
      </c>
    </row>
    <row r="20" spans="1:6" x14ac:dyDescent="0.2">
      <c r="A20" t="s">
        <v>90</v>
      </c>
      <c r="B20">
        <v>1</v>
      </c>
      <c r="C20" s="14">
        <f t="shared" si="3"/>
        <v>46.003947975609762</v>
      </c>
      <c r="D20" s="11">
        <f t="shared" si="2"/>
        <v>1.4279999999999999</v>
      </c>
      <c r="E20" s="4" t="s">
        <v>30</v>
      </c>
      <c r="F20" s="10">
        <v>4.76</v>
      </c>
    </row>
    <row r="21" spans="1:6" x14ac:dyDescent="0.2">
      <c r="A21" t="s">
        <v>91</v>
      </c>
      <c r="B21">
        <v>1</v>
      </c>
      <c r="C21" s="14">
        <f t="shared" si="3"/>
        <v>68.963256507983402</v>
      </c>
      <c r="D21" s="11">
        <f t="shared" si="2"/>
        <v>2.0009999999999999</v>
      </c>
      <c r="E21" s="4" t="s">
        <v>28</v>
      </c>
      <c r="F21" s="10">
        <v>6.67</v>
      </c>
    </row>
    <row r="22" spans="1:6" x14ac:dyDescent="0.2">
      <c r="A22" t="s">
        <v>92</v>
      </c>
      <c r="B22">
        <v>2</v>
      </c>
      <c r="C22" s="14">
        <f t="shared" si="3"/>
        <v>105.6893187259042</v>
      </c>
      <c r="D22" s="11">
        <f t="shared" si="2"/>
        <v>2.8559999999999999</v>
      </c>
      <c r="E22" s="4" t="s">
        <v>26</v>
      </c>
      <c r="F22" s="10">
        <v>9.52</v>
      </c>
    </row>
    <row r="23" spans="1:6" x14ac:dyDescent="0.2">
      <c r="A23" t="s">
        <v>93</v>
      </c>
      <c r="B23">
        <v>4</v>
      </c>
      <c r="C23" s="14">
        <f t="shared" si="3"/>
        <v>287.21009338593609</v>
      </c>
      <c r="D23" s="11">
        <f t="shared" si="2"/>
        <v>6.57</v>
      </c>
      <c r="E23" s="4" t="s">
        <v>24</v>
      </c>
      <c r="F23" s="10">
        <v>21.9</v>
      </c>
    </row>
    <row r="24" spans="1:6" x14ac:dyDescent="0.2">
      <c r="A24" t="s">
        <v>94</v>
      </c>
      <c r="B24">
        <v>3</v>
      </c>
      <c r="C24" s="14">
        <f t="shared" si="3"/>
        <v>93.163060410907889</v>
      </c>
      <c r="D24" s="11">
        <f t="shared" si="2"/>
        <v>2.5710000000000002</v>
      </c>
      <c r="E24" s="4" t="s">
        <v>22</v>
      </c>
      <c r="F24" s="10">
        <v>8.57</v>
      </c>
    </row>
    <row r="25" spans="1:6" x14ac:dyDescent="0.2">
      <c r="A25" t="s">
        <v>95</v>
      </c>
      <c r="B25">
        <v>1</v>
      </c>
      <c r="C25" s="14">
        <f t="shared" si="3"/>
        <v>46.003947975609762</v>
      </c>
      <c r="D25" s="11">
        <f t="shared" si="2"/>
        <v>1.4279999999999999</v>
      </c>
      <c r="E25" s="4" t="s">
        <v>20</v>
      </c>
      <c r="F25" s="10">
        <v>4.76</v>
      </c>
    </row>
    <row r="26" spans="1:6" x14ac:dyDescent="0.2">
      <c r="A26" t="s">
        <v>96</v>
      </c>
      <c r="B26">
        <v>3</v>
      </c>
      <c r="C26" s="14">
        <f t="shared" si="3"/>
        <v>144.85434744298988</v>
      </c>
      <c r="D26" s="11">
        <f t="shared" si="2"/>
        <v>3.7140000000000004</v>
      </c>
      <c r="E26" s="4" t="s">
        <v>10</v>
      </c>
      <c r="F26" s="10">
        <v>12.38</v>
      </c>
    </row>
    <row r="27" spans="1:6" x14ac:dyDescent="0.2">
      <c r="A27" t="s">
        <v>101</v>
      </c>
      <c r="B27">
        <v>2</v>
      </c>
      <c r="C27" s="14">
        <f t="shared" si="3"/>
        <v>68.963256507983402</v>
      </c>
      <c r="D27" s="11">
        <f t="shared" si="2"/>
        <v>2.0009999999999999</v>
      </c>
      <c r="E27" s="4" t="s">
        <v>8</v>
      </c>
      <c r="F27" s="10">
        <v>6.67</v>
      </c>
    </row>
    <row r="28" spans="1:6" x14ac:dyDescent="0.2">
      <c r="A28" t="s">
        <v>97</v>
      </c>
      <c r="B28">
        <v>2</v>
      </c>
      <c r="C28" s="14">
        <f t="shared" si="3"/>
        <v>105.6893187259042</v>
      </c>
      <c r="D28" s="11">
        <f t="shared" si="2"/>
        <v>2.8559999999999999</v>
      </c>
      <c r="E28" s="4" t="s">
        <v>6</v>
      </c>
      <c r="F28" s="10">
        <v>9.52</v>
      </c>
    </row>
    <row r="29" spans="1:6" x14ac:dyDescent="0.2">
      <c r="C29" s="14"/>
      <c r="F29" s="9">
        <f>SUM(F18:F28)</f>
        <v>100</v>
      </c>
    </row>
    <row r="30" spans="1:6" x14ac:dyDescent="0.2">
      <c r="B30">
        <f>SUM(B18:B28)</f>
        <v>23</v>
      </c>
      <c r="C30" s="14">
        <f>SUM(C18:C28)</f>
        <v>1128.7973298209388</v>
      </c>
      <c r="D30">
        <f>+E30*300</f>
        <v>30</v>
      </c>
      <c r="E30" s="12">
        <v>0.1</v>
      </c>
      <c r="F30" s="6" t="s">
        <v>57</v>
      </c>
    </row>
    <row r="31" spans="1:6" x14ac:dyDescent="0.2">
      <c r="C31" s="14"/>
    </row>
    <row r="32" spans="1:6" x14ac:dyDescent="0.2">
      <c r="C32" s="14"/>
      <c r="E32" s="5">
        <f>+E30*0.6</f>
        <v>0.06</v>
      </c>
      <c r="F32" s="7" t="s">
        <v>59</v>
      </c>
    </row>
    <row r="33" spans="1:6" x14ac:dyDescent="0.2">
      <c r="C33" s="14"/>
    </row>
    <row r="34" spans="1:6" x14ac:dyDescent="0.2">
      <c r="A34" t="s">
        <v>88</v>
      </c>
      <c r="B34">
        <v>1</v>
      </c>
      <c r="C34" s="14">
        <f>+D34^1.2*$D$46</f>
        <v>316.87191722383636</v>
      </c>
      <c r="D34" s="11">
        <f>+$D$46*F34/100</f>
        <v>4.0019999999999998</v>
      </c>
      <c r="E34" s="4" t="s">
        <v>38</v>
      </c>
      <c r="F34" s="10">
        <v>6.67</v>
      </c>
    </row>
    <row r="35" spans="1:6" x14ac:dyDescent="0.2">
      <c r="A35" t="s">
        <v>98</v>
      </c>
      <c r="B35">
        <v>3</v>
      </c>
      <c r="C35" s="14">
        <f t="shared" ref="C35:C44" si="4">+D35^1.2*$D$46</f>
        <v>428.66447780307703</v>
      </c>
      <c r="D35" s="11">
        <f t="shared" ref="D35:D44" si="5">+$D$46*F35/100</f>
        <v>5.1479999999999997</v>
      </c>
      <c r="E35" s="4" t="s">
        <v>32</v>
      </c>
      <c r="F35" s="10">
        <v>8.58</v>
      </c>
    </row>
    <row r="36" spans="1:6" x14ac:dyDescent="0.2">
      <c r="A36" t="s">
        <v>99</v>
      </c>
      <c r="B36">
        <v>1</v>
      </c>
      <c r="C36" s="14">
        <f t="shared" si="4"/>
        <v>211.3786374518084</v>
      </c>
      <c r="D36" s="11">
        <f t="shared" si="5"/>
        <v>2.8559999999999999</v>
      </c>
      <c r="E36" s="4" t="s">
        <v>30</v>
      </c>
      <c r="F36" s="10">
        <v>4.76</v>
      </c>
    </row>
    <row r="37" spans="1:6" x14ac:dyDescent="0.2">
      <c r="A37" t="s">
        <v>27</v>
      </c>
      <c r="B37">
        <v>1</v>
      </c>
      <c r="C37" s="14">
        <f t="shared" si="4"/>
        <v>316.87191722383636</v>
      </c>
      <c r="D37" s="11">
        <f t="shared" si="5"/>
        <v>4.0019999999999998</v>
      </c>
      <c r="E37" s="4" t="s">
        <v>28</v>
      </c>
      <c r="F37" s="10">
        <v>6.67</v>
      </c>
    </row>
    <row r="38" spans="1:6" x14ac:dyDescent="0.2">
      <c r="A38" t="s">
        <v>25</v>
      </c>
      <c r="B38">
        <v>2</v>
      </c>
      <c r="C38" s="14">
        <f t="shared" si="4"/>
        <v>485.62058624481415</v>
      </c>
      <c r="D38" s="11">
        <f t="shared" si="5"/>
        <v>5.7119999999999997</v>
      </c>
      <c r="E38" s="4" t="s">
        <v>26</v>
      </c>
      <c r="F38" s="10">
        <v>9.52</v>
      </c>
    </row>
    <row r="39" spans="1:6" x14ac:dyDescent="0.2">
      <c r="A39" t="s">
        <v>23</v>
      </c>
      <c r="B39">
        <v>4</v>
      </c>
      <c r="C39" s="14">
        <f t="shared" si="4"/>
        <v>1319.6710472438785</v>
      </c>
      <c r="D39" s="11">
        <f t="shared" si="5"/>
        <v>13.14</v>
      </c>
      <c r="E39" s="4" t="s">
        <v>24</v>
      </c>
      <c r="F39" s="10">
        <v>21.9</v>
      </c>
    </row>
    <row r="40" spans="1:6" x14ac:dyDescent="0.2">
      <c r="A40" t="s">
        <v>21</v>
      </c>
      <c r="B40">
        <v>3</v>
      </c>
      <c r="C40" s="14">
        <f t="shared" si="4"/>
        <v>428.06501696199717</v>
      </c>
      <c r="D40" s="11">
        <f t="shared" si="5"/>
        <v>5.1420000000000003</v>
      </c>
      <c r="E40" s="4" t="s">
        <v>22</v>
      </c>
      <c r="F40" s="10">
        <v>8.57</v>
      </c>
    </row>
    <row r="41" spans="1:6" x14ac:dyDescent="0.2">
      <c r="A41" t="s">
        <v>77</v>
      </c>
      <c r="B41">
        <v>1</v>
      </c>
      <c r="C41" s="14">
        <f t="shared" si="4"/>
        <v>211.3786374518084</v>
      </c>
      <c r="D41" s="11">
        <f t="shared" si="5"/>
        <v>2.8559999999999999</v>
      </c>
      <c r="E41" s="4" t="s">
        <v>20</v>
      </c>
      <c r="F41" s="10">
        <v>4.76</v>
      </c>
    </row>
    <row r="42" spans="1:6" x14ac:dyDescent="0.2">
      <c r="A42" t="s">
        <v>100</v>
      </c>
      <c r="B42">
        <v>3</v>
      </c>
      <c r="C42" s="14">
        <f t="shared" si="4"/>
        <v>665.57580248772535</v>
      </c>
      <c r="D42" s="11">
        <f t="shared" si="5"/>
        <v>7.4280000000000008</v>
      </c>
      <c r="E42" s="4" t="s">
        <v>10</v>
      </c>
      <c r="F42" s="10">
        <v>12.38</v>
      </c>
    </row>
    <row r="43" spans="1:6" x14ac:dyDescent="0.2">
      <c r="A43" t="s">
        <v>102</v>
      </c>
      <c r="B43">
        <v>2</v>
      </c>
      <c r="C43" s="14">
        <f t="shared" si="4"/>
        <v>316.87191722383636</v>
      </c>
      <c r="D43" s="11">
        <f t="shared" si="5"/>
        <v>4.0019999999999998</v>
      </c>
      <c r="E43" s="4" t="s">
        <v>8</v>
      </c>
      <c r="F43" s="10">
        <v>6.67</v>
      </c>
    </row>
    <row r="44" spans="1:6" x14ac:dyDescent="0.2">
      <c r="A44" t="s">
        <v>103</v>
      </c>
      <c r="B44">
        <v>2</v>
      </c>
      <c r="C44" s="14">
        <f t="shared" si="4"/>
        <v>485.62058624481415</v>
      </c>
      <c r="D44" s="11">
        <f t="shared" si="5"/>
        <v>5.7119999999999997</v>
      </c>
      <c r="E44" s="4" t="s">
        <v>6</v>
      </c>
      <c r="F44" s="10">
        <v>9.52</v>
      </c>
    </row>
    <row r="45" spans="1:6" x14ac:dyDescent="0.2">
      <c r="C45" s="14"/>
      <c r="F45" s="9">
        <f>SUM(F34:F44)</f>
        <v>100</v>
      </c>
    </row>
    <row r="46" spans="1:6" x14ac:dyDescent="0.2">
      <c r="B46">
        <f>SUM(B34:B44)</f>
        <v>23</v>
      </c>
      <c r="C46" s="14">
        <f>SUM(C34:C44)</f>
        <v>5186.5905435614322</v>
      </c>
      <c r="D46">
        <f>+E46*300</f>
        <v>60</v>
      </c>
      <c r="E46" s="12">
        <v>0.2</v>
      </c>
      <c r="F46" s="6" t="s">
        <v>57</v>
      </c>
    </row>
    <row r="47" spans="1:6" x14ac:dyDescent="0.2">
      <c r="C47" s="14"/>
    </row>
    <row r="48" spans="1:6" x14ac:dyDescent="0.2">
      <c r="C48" s="14"/>
      <c r="E48" s="5">
        <f>+E46*0.6</f>
        <v>0.12</v>
      </c>
      <c r="F48" s="7" t="s">
        <v>59</v>
      </c>
    </row>
    <row r="49" spans="1:6" x14ac:dyDescent="0.2">
      <c r="C49" s="14"/>
    </row>
    <row r="50" spans="1:6" x14ac:dyDescent="0.2">
      <c r="A50" t="s">
        <v>104</v>
      </c>
      <c r="B50">
        <v>1</v>
      </c>
      <c r="C50" s="14">
        <f t="shared" ref="C50:C60" si="6">+D50^1.2*$D$62</f>
        <v>773.18696095772486</v>
      </c>
      <c r="D50" s="11">
        <f>+$D$62*F50/100</f>
        <v>6.0029999999999992</v>
      </c>
      <c r="E50" s="4" t="s">
        <v>38</v>
      </c>
      <c r="F50" s="10">
        <v>6.67</v>
      </c>
    </row>
    <row r="51" spans="1:6" x14ac:dyDescent="0.2">
      <c r="A51" t="s">
        <v>110</v>
      </c>
      <c r="B51">
        <v>3</v>
      </c>
      <c r="C51" s="14">
        <f t="shared" si="6"/>
        <v>1045.9676823584391</v>
      </c>
      <c r="D51" s="11">
        <f t="shared" ref="D51:D60" si="7">+$D$62*F51/100</f>
        <v>7.7220000000000004</v>
      </c>
      <c r="E51" s="4" t="s">
        <v>32</v>
      </c>
      <c r="F51" s="10">
        <v>8.58</v>
      </c>
    </row>
    <row r="52" spans="1:6" x14ac:dyDescent="0.2">
      <c r="A52" t="s">
        <v>113</v>
      </c>
      <c r="B52">
        <v>1</v>
      </c>
      <c r="C52" s="14">
        <f t="shared" si="6"/>
        <v>515.77687203911751</v>
      </c>
      <c r="D52" s="11">
        <f t="shared" si="7"/>
        <v>4.2839999999999998</v>
      </c>
      <c r="E52" s="4" t="s">
        <v>30</v>
      </c>
      <c r="F52" s="10">
        <v>4.76</v>
      </c>
    </row>
    <row r="53" spans="1:6" x14ac:dyDescent="0.2">
      <c r="A53" t="s">
        <v>105</v>
      </c>
      <c r="B53">
        <v>1</v>
      </c>
      <c r="C53" s="14">
        <f t="shared" si="6"/>
        <v>773.18696095772486</v>
      </c>
      <c r="D53" s="11">
        <f t="shared" si="7"/>
        <v>6.0029999999999992</v>
      </c>
      <c r="E53" s="4" t="s">
        <v>28</v>
      </c>
      <c r="F53" s="10">
        <v>6.67</v>
      </c>
    </row>
    <row r="54" spans="1:6" x14ac:dyDescent="0.2">
      <c r="A54" t="s">
        <v>106</v>
      </c>
      <c r="B54">
        <v>2</v>
      </c>
      <c r="C54" s="14">
        <f t="shared" si="6"/>
        <v>1184.9440889137011</v>
      </c>
      <c r="D54" s="11">
        <f t="shared" si="7"/>
        <v>8.5679999999999996</v>
      </c>
      <c r="E54" s="4" t="s">
        <v>26</v>
      </c>
      <c r="F54" s="10">
        <v>9.52</v>
      </c>
    </row>
    <row r="55" spans="1:6" x14ac:dyDescent="0.2">
      <c r="A55" t="s">
        <v>119</v>
      </c>
      <c r="B55">
        <v>4</v>
      </c>
      <c r="C55" s="14">
        <f t="shared" si="6"/>
        <v>3220.0784955065023</v>
      </c>
      <c r="D55" s="11">
        <f t="shared" si="7"/>
        <v>19.709999999999997</v>
      </c>
      <c r="E55" s="4" t="s">
        <v>24</v>
      </c>
      <c r="F55" s="10">
        <v>21.9</v>
      </c>
    </row>
    <row r="56" spans="1:6" x14ac:dyDescent="0.2">
      <c r="A56" t="s">
        <v>111</v>
      </c>
      <c r="B56">
        <v>3</v>
      </c>
      <c r="C56" s="14">
        <f t="shared" si="6"/>
        <v>1044.5049610482374</v>
      </c>
      <c r="D56" s="11">
        <f t="shared" si="7"/>
        <v>7.713000000000001</v>
      </c>
      <c r="E56" s="4" t="s">
        <v>22</v>
      </c>
      <c r="F56" s="10">
        <v>8.57</v>
      </c>
    </row>
    <row r="57" spans="1:6" x14ac:dyDescent="0.2">
      <c r="A57" t="s">
        <v>112</v>
      </c>
      <c r="B57">
        <v>1</v>
      </c>
      <c r="C57" s="14">
        <f t="shared" si="6"/>
        <v>515.77687203911751</v>
      </c>
      <c r="D57" s="11">
        <f t="shared" si="7"/>
        <v>4.2839999999999998</v>
      </c>
      <c r="E57" s="4" t="s">
        <v>20</v>
      </c>
      <c r="F57" s="10">
        <v>4.76</v>
      </c>
    </row>
    <row r="58" spans="1:6" x14ac:dyDescent="0.2">
      <c r="A58" t="s">
        <v>109</v>
      </c>
      <c r="B58">
        <v>3</v>
      </c>
      <c r="C58" s="14">
        <f t="shared" si="6"/>
        <v>1624.0458811279352</v>
      </c>
      <c r="D58" s="11">
        <f t="shared" si="7"/>
        <v>11.142000000000001</v>
      </c>
      <c r="E58" s="4" t="s">
        <v>10</v>
      </c>
      <c r="F58" s="10">
        <v>12.38</v>
      </c>
    </row>
    <row r="59" spans="1:6" x14ac:dyDescent="0.2">
      <c r="A59" t="s">
        <v>107</v>
      </c>
      <c r="B59">
        <v>2</v>
      </c>
      <c r="C59" s="14">
        <f t="shared" si="6"/>
        <v>773.18696095772486</v>
      </c>
      <c r="D59" s="11">
        <f t="shared" si="7"/>
        <v>6.0029999999999992</v>
      </c>
      <c r="E59" s="4" t="s">
        <v>8</v>
      </c>
      <c r="F59" s="10">
        <v>6.67</v>
      </c>
    </row>
    <row r="60" spans="1:6" x14ac:dyDescent="0.2">
      <c r="A60" t="s">
        <v>108</v>
      </c>
      <c r="B60">
        <v>2</v>
      </c>
      <c r="C60" s="14">
        <f t="shared" si="6"/>
        <v>1184.9440889137011</v>
      </c>
      <c r="D60" s="11">
        <f t="shared" si="7"/>
        <v>8.5679999999999996</v>
      </c>
      <c r="E60" s="4" t="s">
        <v>6</v>
      </c>
      <c r="F60" s="10">
        <v>9.52</v>
      </c>
    </row>
    <row r="61" spans="1:6" x14ac:dyDescent="0.2">
      <c r="C61" s="14"/>
      <c r="F61" s="9">
        <f>SUM(F50:F60)</f>
        <v>100</v>
      </c>
    </row>
    <row r="62" spans="1:6" x14ac:dyDescent="0.2">
      <c r="B62">
        <f>SUM(B50:B60)</f>
        <v>23</v>
      </c>
      <c r="C62" s="14">
        <f>SUM(C50:C61)</f>
        <v>12655.599824819923</v>
      </c>
      <c r="D62">
        <f>+E62*300</f>
        <v>90</v>
      </c>
      <c r="E62" s="12">
        <v>0.3</v>
      </c>
      <c r="F62" s="6" t="s">
        <v>57</v>
      </c>
    </row>
    <row r="63" spans="1:6" x14ac:dyDescent="0.2">
      <c r="C63" s="14"/>
    </row>
    <row r="64" spans="1:6" x14ac:dyDescent="0.2">
      <c r="C64" s="14"/>
      <c r="E64" s="5">
        <f>+E62*0.6</f>
        <v>0.18</v>
      </c>
      <c r="F64" s="7" t="s">
        <v>59</v>
      </c>
    </row>
    <row r="65" spans="1:6" x14ac:dyDescent="0.2">
      <c r="C65" s="14"/>
    </row>
    <row r="66" spans="1:6" x14ac:dyDescent="0.2">
      <c r="A66" t="s">
        <v>114</v>
      </c>
      <c r="B66">
        <v>1</v>
      </c>
      <c r="C66" s="14">
        <f>+D66^1.2*$D$78</f>
        <v>4986.9320314414927</v>
      </c>
      <c r="D66" s="11">
        <f t="shared" ref="D66:D76" si="8">+$D$78*F66/100</f>
        <v>14.007</v>
      </c>
      <c r="E66" s="4" t="s">
        <v>38</v>
      </c>
      <c r="F66" s="10">
        <v>6.67</v>
      </c>
    </row>
    <row r="67" spans="1:6" x14ac:dyDescent="0.2">
      <c r="A67" t="s">
        <v>115</v>
      </c>
      <c r="B67">
        <v>3</v>
      </c>
      <c r="C67" s="14">
        <f t="shared" ref="C67:C76" si="9">+D67^1.2*$D$78</f>
        <v>6746.3239842337734</v>
      </c>
      <c r="D67" s="11">
        <f t="shared" si="8"/>
        <v>18.018000000000001</v>
      </c>
      <c r="E67" s="4" t="s">
        <v>32</v>
      </c>
      <c r="F67" s="10">
        <v>8.58</v>
      </c>
    </row>
    <row r="68" spans="1:6" x14ac:dyDescent="0.2">
      <c r="A68" t="s">
        <v>116</v>
      </c>
      <c r="B68">
        <v>1</v>
      </c>
      <c r="C68" s="14">
        <f t="shared" si="9"/>
        <v>3326.6781957400481</v>
      </c>
      <c r="D68" s="11">
        <f t="shared" si="8"/>
        <v>9.9959999999999987</v>
      </c>
      <c r="E68" s="4" t="s">
        <v>30</v>
      </c>
      <c r="F68" s="10">
        <v>4.76</v>
      </c>
    </row>
    <row r="69" spans="1:6" x14ac:dyDescent="0.2">
      <c r="A69" t="s">
        <v>117</v>
      </c>
      <c r="B69">
        <v>1</v>
      </c>
      <c r="C69" s="14">
        <f t="shared" si="9"/>
        <v>4986.9320314414927</v>
      </c>
      <c r="D69" s="11">
        <f t="shared" si="8"/>
        <v>14.007</v>
      </c>
      <c r="E69" s="4" t="s">
        <v>28</v>
      </c>
      <c r="F69" s="10">
        <v>6.67</v>
      </c>
    </row>
    <row r="70" spans="1:6" x14ac:dyDescent="0.2">
      <c r="A70" t="s">
        <v>118</v>
      </c>
      <c r="B70">
        <v>2</v>
      </c>
      <c r="C70" s="14">
        <f t="shared" si="9"/>
        <v>7642.6995421021957</v>
      </c>
      <c r="D70" s="11">
        <f t="shared" si="8"/>
        <v>19.991999999999997</v>
      </c>
      <c r="E70" s="4" t="s">
        <v>26</v>
      </c>
      <c r="F70" s="10">
        <v>9.52</v>
      </c>
    </row>
    <row r="71" spans="1:6" x14ac:dyDescent="0.2">
      <c r="A71" t="s">
        <v>120</v>
      </c>
      <c r="B71">
        <v>4</v>
      </c>
      <c r="C71" s="14">
        <f t="shared" si="9"/>
        <v>20768.990430343441</v>
      </c>
      <c r="D71" s="11">
        <f t="shared" si="8"/>
        <v>45.99</v>
      </c>
      <c r="E71" s="4" t="s">
        <v>24</v>
      </c>
      <c r="F71" s="10">
        <v>21.9</v>
      </c>
    </row>
    <row r="72" spans="1:6" x14ac:dyDescent="0.2">
      <c r="A72" t="s">
        <v>121</v>
      </c>
      <c r="B72">
        <v>3</v>
      </c>
      <c r="C72" s="14">
        <f t="shared" si="9"/>
        <v>6736.8896661150593</v>
      </c>
      <c r="D72" s="11">
        <f t="shared" si="8"/>
        <v>17.997</v>
      </c>
      <c r="E72" s="4" t="s">
        <v>22</v>
      </c>
      <c r="F72" s="10">
        <v>8.57</v>
      </c>
    </row>
    <row r="73" spans="1:6" x14ac:dyDescent="0.2">
      <c r="A73" t="s">
        <v>122</v>
      </c>
      <c r="B73">
        <v>1</v>
      </c>
      <c r="C73" s="14">
        <f t="shared" si="9"/>
        <v>3326.6781957400481</v>
      </c>
      <c r="D73" s="11">
        <f t="shared" si="8"/>
        <v>9.9959999999999987</v>
      </c>
      <c r="E73" s="4" t="s">
        <v>20</v>
      </c>
      <c r="F73" s="10">
        <v>4.76</v>
      </c>
    </row>
    <row r="74" spans="1:6" x14ac:dyDescent="0.2">
      <c r="A74" t="s">
        <v>123</v>
      </c>
      <c r="B74">
        <v>3</v>
      </c>
      <c r="C74" s="14">
        <f t="shared" si="9"/>
        <v>10474.835756536186</v>
      </c>
      <c r="D74" s="11">
        <f t="shared" si="8"/>
        <v>25.998000000000001</v>
      </c>
      <c r="E74" s="4" t="s">
        <v>10</v>
      </c>
      <c r="F74" s="10">
        <v>12.38</v>
      </c>
    </row>
    <row r="75" spans="1:6" x14ac:dyDescent="0.2">
      <c r="A75" t="s">
        <v>124</v>
      </c>
      <c r="B75">
        <v>2</v>
      </c>
      <c r="C75" s="14">
        <f t="shared" si="9"/>
        <v>4986.9320314414927</v>
      </c>
      <c r="D75" s="11">
        <f t="shared" si="8"/>
        <v>14.007</v>
      </c>
      <c r="E75" s="4" t="s">
        <v>8</v>
      </c>
      <c r="F75" s="10">
        <v>6.67</v>
      </c>
    </row>
    <row r="76" spans="1:6" x14ac:dyDescent="0.2">
      <c r="A76" t="s">
        <v>125</v>
      </c>
      <c r="B76">
        <v>2</v>
      </c>
      <c r="C76" s="14">
        <f t="shared" si="9"/>
        <v>7642.6995421021957</v>
      </c>
      <c r="D76" s="11">
        <f t="shared" si="8"/>
        <v>19.991999999999997</v>
      </c>
      <c r="E76" s="4" t="s">
        <v>6</v>
      </c>
      <c r="F76" s="10">
        <v>9.52</v>
      </c>
    </row>
    <row r="77" spans="1:6" x14ac:dyDescent="0.2">
      <c r="C77" s="14"/>
      <c r="F77" s="9">
        <f>SUM(F66:F76)</f>
        <v>100</v>
      </c>
    </row>
    <row r="78" spans="1:6" x14ac:dyDescent="0.2">
      <c r="B78">
        <f>SUM(B66:B76)</f>
        <v>23</v>
      </c>
      <c r="C78" s="14">
        <f>SUM(C66:C76)</f>
        <v>81626.591407237429</v>
      </c>
      <c r="D78">
        <f>+E78*300</f>
        <v>210</v>
      </c>
      <c r="E78" s="12">
        <v>0.7</v>
      </c>
      <c r="F78" s="6" t="s">
        <v>57</v>
      </c>
    </row>
    <row r="79" spans="1:6" x14ac:dyDescent="0.2">
      <c r="C79" s="14"/>
      <c r="E79" s="12"/>
      <c r="F79" s="6"/>
    </row>
    <row r="80" spans="1:6" x14ac:dyDescent="0.2">
      <c r="C80" s="14"/>
      <c r="E80" s="5">
        <f>+E78*0.6</f>
        <v>0.42</v>
      </c>
      <c r="F80" s="7" t="s">
        <v>59</v>
      </c>
    </row>
    <row r="81" spans="1:6" x14ac:dyDescent="0.2">
      <c r="C81" s="14"/>
      <c r="E81" s="12"/>
      <c r="F81" s="6"/>
    </row>
    <row r="82" spans="1:6" x14ac:dyDescent="0.2">
      <c r="A82" t="s">
        <v>132</v>
      </c>
      <c r="B82">
        <v>1</v>
      </c>
      <c r="C82" s="14">
        <f>+D82^1.2*$D$94</f>
        <v>10929.939576945246</v>
      </c>
      <c r="D82" s="11">
        <f t="shared" ref="D82:D92" si="10">+$D$94*F82/100</f>
        <v>20.010000000000002</v>
      </c>
      <c r="E82" s="4" t="s">
        <v>38</v>
      </c>
      <c r="F82" s="10">
        <v>6.67</v>
      </c>
    </row>
    <row r="83" spans="1:6" x14ac:dyDescent="0.2">
      <c r="A83" t="s">
        <v>133</v>
      </c>
      <c r="B83">
        <v>3</v>
      </c>
      <c r="C83" s="14">
        <f t="shared" ref="C83:C92" si="11">+D83^1.2*$D$94</f>
        <v>14786.027370992202</v>
      </c>
      <c r="D83" s="11">
        <f t="shared" si="10"/>
        <v>25.74</v>
      </c>
      <c r="E83" s="4" t="s">
        <v>32</v>
      </c>
      <c r="F83" s="10">
        <v>8.58</v>
      </c>
    </row>
    <row r="84" spans="1:6" x14ac:dyDescent="0.2">
      <c r="A84" t="s">
        <v>134</v>
      </c>
      <c r="B84">
        <v>1</v>
      </c>
      <c r="C84" s="14">
        <f t="shared" si="11"/>
        <v>7291.1343972879104</v>
      </c>
      <c r="D84" s="11">
        <f t="shared" si="10"/>
        <v>14.28</v>
      </c>
      <c r="E84" s="4" t="s">
        <v>30</v>
      </c>
      <c r="F84" s="10">
        <v>4.76</v>
      </c>
    </row>
    <row r="85" spans="1:6" x14ac:dyDescent="0.2">
      <c r="A85" t="s">
        <v>135</v>
      </c>
      <c r="B85">
        <v>1</v>
      </c>
      <c r="C85" s="14">
        <f t="shared" si="11"/>
        <v>10929.939576945246</v>
      </c>
      <c r="D85" s="11">
        <f t="shared" si="10"/>
        <v>20.010000000000002</v>
      </c>
      <c r="E85" s="4" t="s">
        <v>28</v>
      </c>
      <c r="F85" s="10">
        <v>6.67</v>
      </c>
    </row>
    <row r="86" spans="1:6" x14ac:dyDescent="0.2">
      <c r="A86" t="s">
        <v>136</v>
      </c>
      <c r="B86">
        <v>2</v>
      </c>
      <c r="C86" s="14">
        <f t="shared" si="11"/>
        <v>16750.628176453851</v>
      </c>
      <c r="D86" s="11">
        <f t="shared" si="10"/>
        <v>28.56</v>
      </c>
      <c r="E86" s="4" t="s">
        <v>26</v>
      </c>
      <c r="F86" s="10">
        <v>9.52</v>
      </c>
    </row>
    <row r="87" spans="1:6" x14ac:dyDescent="0.2">
      <c r="A87" t="s">
        <v>137</v>
      </c>
      <c r="B87">
        <v>4</v>
      </c>
      <c r="C87" s="14">
        <f t="shared" si="11"/>
        <v>45519.732181349063</v>
      </c>
      <c r="D87" s="11">
        <f t="shared" si="10"/>
        <v>65.7</v>
      </c>
      <c r="E87" s="4" t="s">
        <v>24</v>
      </c>
      <c r="F87" s="10">
        <v>21.9</v>
      </c>
    </row>
    <row r="88" spans="1:6" x14ac:dyDescent="0.2">
      <c r="A88" t="s">
        <v>138</v>
      </c>
      <c r="B88">
        <v>3</v>
      </c>
      <c r="C88" s="14">
        <f t="shared" si="11"/>
        <v>14765.350023409139</v>
      </c>
      <c r="D88" s="11">
        <f t="shared" si="10"/>
        <v>25.71</v>
      </c>
      <c r="E88" s="4" t="s">
        <v>22</v>
      </c>
      <c r="F88" s="10">
        <v>8.57</v>
      </c>
    </row>
    <row r="89" spans="1:6" x14ac:dyDescent="0.2">
      <c r="A89" t="s">
        <v>139</v>
      </c>
      <c r="B89">
        <v>1</v>
      </c>
      <c r="C89" s="14">
        <f t="shared" si="11"/>
        <v>7291.1343972879104</v>
      </c>
      <c r="D89" s="11">
        <f t="shared" si="10"/>
        <v>14.28</v>
      </c>
      <c r="E89" s="4" t="s">
        <v>20</v>
      </c>
      <c r="F89" s="10">
        <v>4.76</v>
      </c>
    </row>
    <row r="90" spans="1:6" x14ac:dyDescent="0.2">
      <c r="A90" t="s">
        <v>140</v>
      </c>
      <c r="B90">
        <v>3</v>
      </c>
      <c r="C90" s="14">
        <f t="shared" si="11"/>
        <v>22957.866916079143</v>
      </c>
      <c r="D90" s="11">
        <f t="shared" si="10"/>
        <v>37.140000000000008</v>
      </c>
      <c r="E90" s="4" t="s">
        <v>10</v>
      </c>
      <c r="F90" s="10">
        <v>12.38</v>
      </c>
    </row>
    <row r="91" spans="1:6" x14ac:dyDescent="0.2">
      <c r="A91" t="s">
        <v>141</v>
      </c>
      <c r="B91">
        <v>2</v>
      </c>
      <c r="C91" s="14">
        <f t="shared" si="11"/>
        <v>10929.939576945246</v>
      </c>
      <c r="D91" s="11">
        <f t="shared" si="10"/>
        <v>20.010000000000002</v>
      </c>
      <c r="E91" s="4" t="s">
        <v>8</v>
      </c>
      <c r="F91" s="10">
        <v>6.67</v>
      </c>
    </row>
    <row r="92" spans="1:6" x14ac:dyDescent="0.2">
      <c r="A92" t="s">
        <v>142</v>
      </c>
      <c r="B92">
        <v>2</v>
      </c>
      <c r="C92" s="14">
        <f t="shared" si="11"/>
        <v>16750.628176453851</v>
      </c>
      <c r="D92" s="11">
        <f t="shared" si="10"/>
        <v>28.56</v>
      </c>
      <c r="E92" s="4" t="s">
        <v>6</v>
      </c>
      <c r="F92" s="10">
        <v>9.52</v>
      </c>
    </row>
    <row r="93" spans="1:6" x14ac:dyDescent="0.2">
      <c r="C93" s="14"/>
      <c r="D93" s="11"/>
      <c r="F93" s="9">
        <f>SUM(F82:F92)</f>
        <v>100</v>
      </c>
    </row>
    <row r="94" spans="1:6" x14ac:dyDescent="0.2">
      <c r="B94">
        <f>SUM(B82:B92)</f>
        <v>23</v>
      </c>
      <c r="C94" s="14">
        <f>SUM(C82:C93)</f>
        <v>178902.32037014878</v>
      </c>
      <c r="D94">
        <f>+E94*300</f>
        <v>300</v>
      </c>
      <c r="E94" s="12">
        <v>1</v>
      </c>
      <c r="F94" s="6" t="s">
        <v>57</v>
      </c>
    </row>
    <row r="96" spans="1:6" x14ac:dyDescent="0.2">
      <c r="E96" s="5">
        <f>+E94*0.6</f>
        <v>0.6</v>
      </c>
      <c r="F96" s="7" t="s">
        <v>59</v>
      </c>
    </row>
    <row r="97" spans="1:6" x14ac:dyDescent="0.2">
      <c r="E97" s="5"/>
      <c r="F97" s="7"/>
    </row>
    <row r="98" spans="1:6" x14ac:dyDescent="0.2">
      <c r="E98" s="5"/>
      <c r="F98" s="7"/>
    </row>
    <row r="99" spans="1:6" x14ac:dyDescent="0.2">
      <c r="A99" s="1" t="s">
        <v>127</v>
      </c>
    </row>
    <row r="100" spans="1:6" x14ac:dyDescent="0.2">
      <c r="B100">
        <v>1</v>
      </c>
      <c r="C100">
        <f>+D100^2*3</f>
        <v>12</v>
      </c>
      <c r="D100">
        <v>2</v>
      </c>
      <c r="E100" s="4" t="s">
        <v>38</v>
      </c>
    </row>
    <row r="101" spans="1:6" x14ac:dyDescent="0.2">
      <c r="A101" t="s">
        <v>31</v>
      </c>
      <c r="B101">
        <v>3</v>
      </c>
      <c r="C101">
        <f t="shared" ref="C101:C110" si="12">+D101^2*3</f>
        <v>12</v>
      </c>
      <c r="D101">
        <v>2</v>
      </c>
      <c r="E101" s="4" t="s">
        <v>32</v>
      </c>
    </row>
    <row r="102" spans="1:6" x14ac:dyDescent="0.2">
      <c r="A102" t="s">
        <v>29</v>
      </c>
      <c r="B102">
        <v>1</v>
      </c>
      <c r="C102">
        <f t="shared" si="12"/>
        <v>3</v>
      </c>
      <c r="D102">
        <v>1</v>
      </c>
      <c r="E102" s="4" t="s">
        <v>30</v>
      </c>
    </row>
    <row r="103" spans="1:6" x14ac:dyDescent="0.2">
      <c r="B103">
        <v>1</v>
      </c>
      <c r="C103">
        <f t="shared" si="12"/>
        <v>12</v>
      </c>
      <c r="D103">
        <v>2</v>
      </c>
      <c r="E103" s="4" t="s">
        <v>28</v>
      </c>
    </row>
    <row r="104" spans="1:6" x14ac:dyDescent="0.2">
      <c r="B104">
        <v>2</v>
      </c>
      <c r="C104">
        <f t="shared" si="12"/>
        <v>12</v>
      </c>
      <c r="D104">
        <v>2</v>
      </c>
      <c r="E104" s="4" t="s">
        <v>26</v>
      </c>
    </row>
    <row r="105" spans="1:6" x14ac:dyDescent="0.2">
      <c r="B105">
        <v>4</v>
      </c>
      <c r="C105">
        <f t="shared" si="12"/>
        <v>75</v>
      </c>
      <c r="D105">
        <v>5</v>
      </c>
      <c r="E105" s="4" t="s">
        <v>24</v>
      </c>
    </row>
    <row r="106" spans="1:6" x14ac:dyDescent="0.2">
      <c r="B106">
        <v>3</v>
      </c>
      <c r="C106">
        <f t="shared" si="12"/>
        <v>12</v>
      </c>
      <c r="D106">
        <v>2</v>
      </c>
      <c r="E106" s="4" t="s">
        <v>22</v>
      </c>
    </row>
    <row r="107" spans="1:6" x14ac:dyDescent="0.2">
      <c r="B107">
        <v>1</v>
      </c>
      <c r="C107">
        <f t="shared" si="12"/>
        <v>12</v>
      </c>
      <c r="D107">
        <v>2</v>
      </c>
      <c r="E107" s="4" t="s">
        <v>20</v>
      </c>
    </row>
    <row r="108" spans="1:6" x14ac:dyDescent="0.2">
      <c r="A108" t="s">
        <v>9</v>
      </c>
      <c r="B108">
        <v>3</v>
      </c>
      <c r="C108">
        <f t="shared" si="12"/>
        <v>27</v>
      </c>
      <c r="D108">
        <v>3</v>
      </c>
      <c r="E108" s="4" t="s">
        <v>10</v>
      </c>
    </row>
    <row r="109" spans="1:6" x14ac:dyDescent="0.2">
      <c r="A109" t="s">
        <v>7</v>
      </c>
      <c r="B109">
        <v>2</v>
      </c>
      <c r="C109">
        <f t="shared" si="12"/>
        <v>27</v>
      </c>
      <c r="D109">
        <v>3</v>
      </c>
      <c r="E109" s="4" t="s">
        <v>8</v>
      </c>
    </row>
    <row r="110" spans="1:6" x14ac:dyDescent="0.2">
      <c r="A110" t="s">
        <v>76</v>
      </c>
      <c r="B110">
        <v>2</v>
      </c>
      <c r="C110">
        <f t="shared" si="12"/>
        <v>27</v>
      </c>
      <c r="D110">
        <v>3</v>
      </c>
      <c r="E110" s="4" t="s">
        <v>6</v>
      </c>
    </row>
    <row r="112" spans="1:6" x14ac:dyDescent="0.2">
      <c r="B112">
        <f>SUM(B100:B110)</f>
        <v>23</v>
      </c>
      <c r="C112">
        <f>SUM(C100:C110)</f>
        <v>231</v>
      </c>
      <c r="D112">
        <f>SUM(D100:D110)</f>
        <v>27</v>
      </c>
      <c r="E112" s="5">
        <f>+D112/300</f>
        <v>0.09</v>
      </c>
      <c r="F112" s="6" t="s">
        <v>57</v>
      </c>
    </row>
    <row r="114" spans="5:6" x14ac:dyDescent="0.2">
      <c r="E114" s="5">
        <f>+E112*0.6</f>
        <v>5.3999999999999999E-2</v>
      </c>
      <c r="F114" s="7" t="s">
        <v>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0090-AA47-4081-A1F7-95E3D098C881}">
  <dimension ref="A1:E9"/>
  <sheetViews>
    <sheetView workbookViewId="0">
      <selection activeCell="C2" sqref="C2"/>
    </sheetView>
  </sheetViews>
  <sheetFormatPr defaultRowHeight="12.75" x14ac:dyDescent="0.2"/>
  <cols>
    <col min="1" max="1" width="20.7109375" customWidth="1"/>
  </cols>
  <sheetData>
    <row r="1" spans="1:5" x14ac:dyDescent="0.2">
      <c r="A1" s="1" t="s">
        <v>0</v>
      </c>
      <c r="B1" s="2" t="s">
        <v>2</v>
      </c>
      <c r="C1" s="2" t="s">
        <v>3</v>
      </c>
      <c r="D1" s="2" t="s">
        <v>4</v>
      </c>
      <c r="E1" s="1" t="s">
        <v>5</v>
      </c>
    </row>
    <row r="2" spans="1:5" x14ac:dyDescent="0.2">
      <c r="A2" t="s">
        <v>36</v>
      </c>
      <c r="B2">
        <v>1</v>
      </c>
      <c r="C2">
        <v>200</v>
      </c>
      <c r="D2">
        <v>1</v>
      </c>
      <c r="E2" t="s">
        <v>18</v>
      </c>
    </row>
    <row r="3" spans="1:5" x14ac:dyDescent="0.2">
      <c r="A3" t="s">
        <v>17</v>
      </c>
      <c r="B3">
        <v>1</v>
      </c>
      <c r="C3">
        <v>120</v>
      </c>
      <c r="D3">
        <v>1</v>
      </c>
      <c r="E3" t="s">
        <v>18</v>
      </c>
    </row>
    <row r="4" spans="1:5" x14ac:dyDescent="0.2">
      <c r="A4" t="s">
        <v>33</v>
      </c>
      <c r="B4">
        <v>1</v>
      </c>
      <c r="C4">
        <v>55</v>
      </c>
      <c r="D4">
        <v>1</v>
      </c>
      <c r="E4" t="s">
        <v>12</v>
      </c>
    </row>
    <row r="5" spans="1:5" x14ac:dyDescent="0.2">
      <c r="A5" t="s">
        <v>11</v>
      </c>
      <c r="B5">
        <v>1</v>
      </c>
      <c r="C5">
        <v>33</v>
      </c>
      <c r="D5">
        <v>1</v>
      </c>
      <c r="E5" t="s">
        <v>12</v>
      </c>
    </row>
    <row r="6" spans="1:5" x14ac:dyDescent="0.2">
      <c r="A6" t="s">
        <v>34</v>
      </c>
      <c r="B6">
        <v>1</v>
      </c>
      <c r="C6">
        <v>125</v>
      </c>
      <c r="D6">
        <v>1</v>
      </c>
      <c r="E6" t="s">
        <v>14</v>
      </c>
    </row>
    <row r="7" spans="1:5" x14ac:dyDescent="0.2">
      <c r="A7" t="s">
        <v>13</v>
      </c>
      <c r="B7">
        <v>1</v>
      </c>
      <c r="C7">
        <v>75</v>
      </c>
      <c r="D7">
        <v>1</v>
      </c>
      <c r="E7" t="s">
        <v>14</v>
      </c>
    </row>
    <row r="8" spans="1:5" x14ac:dyDescent="0.2">
      <c r="A8" t="s">
        <v>35</v>
      </c>
      <c r="B8">
        <v>1</v>
      </c>
      <c r="C8">
        <v>250</v>
      </c>
      <c r="D8">
        <v>1</v>
      </c>
      <c r="E8" t="s">
        <v>16</v>
      </c>
    </row>
    <row r="9" spans="1:5" x14ac:dyDescent="0.2">
      <c r="A9" t="s">
        <v>15</v>
      </c>
      <c r="B9">
        <v>1</v>
      </c>
      <c r="C9">
        <v>150</v>
      </c>
      <c r="D9">
        <v>1</v>
      </c>
      <c r="E9" t="s">
        <v>16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5CE4-29AE-410B-8A99-2618E30A27A3}">
  <dimension ref="A1:C4"/>
  <sheetViews>
    <sheetView workbookViewId="0"/>
  </sheetViews>
  <sheetFormatPr defaultRowHeight="12.75" x14ac:dyDescent="0.2"/>
  <cols>
    <col min="1" max="1" width="20.7109375" customWidth="1"/>
  </cols>
  <sheetData>
    <row r="1" spans="1:3" x14ac:dyDescent="0.2">
      <c r="A1" s="1" t="s">
        <v>0</v>
      </c>
      <c r="B1" s="2" t="s">
        <v>2</v>
      </c>
      <c r="C1" s="2" t="s">
        <v>3</v>
      </c>
    </row>
    <row r="2" spans="1:3" x14ac:dyDescent="0.2">
      <c r="A2" t="s">
        <v>50</v>
      </c>
      <c r="B2">
        <v>1</v>
      </c>
      <c r="C2">
        <v>2</v>
      </c>
    </row>
    <row r="3" spans="1:3" x14ac:dyDescent="0.2">
      <c r="A3" t="s">
        <v>51</v>
      </c>
      <c r="B3">
        <v>1</v>
      </c>
      <c r="C3">
        <v>3</v>
      </c>
    </row>
    <row r="4" spans="1:3" x14ac:dyDescent="0.2">
      <c r="A4" t="s">
        <v>52</v>
      </c>
      <c r="B4">
        <v>1</v>
      </c>
      <c r="C4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0696-07B6-4792-B491-D90A2A7BC7C2}">
  <dimension ref="A1:A5"/>
  <sheetViews>
    <sheetView workbookViewId="0">
      <selection activeCell="E16" sqref="E16"/>
    </sheetView>
  </sheetViews>
  <sheetFormatPr defaultRowHeight="12.75" x14ac:dyDescent="0.2"/>
  <cols>
    <col min="1" max="1" width="20.7109375" customWidth="1"/>
  </cols>
  <sheetData>
    <row r="1" spans="1:1" x14ac:dyDescent="0.2">
      <c r="A1" s="1" t="s">
        <v>0</v>
      </c>
    </row>
    <row r="2" spans="1:1" x14ac:dyDescent="0.2">
      <c r="A2" t="s">
        <v>49</v>
      </c>
    </row>
    <row r="3" spans="1:1" x14ac:dyDescent="0.2">
      <c r="A3" t="s">
        <v>48</v>
      </c>
    </row>
    <row r="4" spans="1:1" x14ac:dyDescent="0.2">
      <c r="A4" t="s">
        <v>47</v>
      </c>
    </row>
    <row r="5" spans="1:1" x14ac:dyDescent="0.2">
      <c r="A5" t="s">
        <v>46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E8E7-9061-4103-8A95-F390E86B3D77}">
  <dimension ref="A1:D35"/>
  <sheetViews>
    <sheetView workbookViewId="0">
      <pane ySplit="5" topLeftCell="A6" activePane="bottomLeft" state="frozen"/>
      <selection pane="bottomLeft" sqref="A1:C1"/>
    </sheetView>
  </sheetViews>
  <sheetFormatPr defaultRowHeight="12.75" x14ac:dyDescent="0.2"/>
  <sheetData>
    <row r="1" spans="1:4" x14ac:dyDescent="0.2">
      <c r="A1" s="15" t="s">
        <v>56</v>
      </c>
      <c r="B1" s="15"/>
      <c r="C1" s="15"/>
    </row>
    <row r="2" spans="1:4" x14ac:dyDescent="0.2">
      <c r="A2" s="3" t="s">
        <v>39</v>
      </c>
      <c r="B2" s="3" t="s">
        <v>54</v>
      </c>
      <c r="C2" s="3" t="s">
        <v>55</v>
      </c>
    </row>
    <row r="3" spans="1:4" x14ac:dyDescent="0.2">
      <c r="A3" s="4">
        <v>9</v>
      </c>
      <c r="B3" s="4">
        <v>31</v>
      </c>
      <c r="C3" s="4">
        <v>50</v>
      </c>
    </row>
    <row r="5" spans="1:4" x14ac:dyDescent="0.2">
      <c r="A5" s="2" t="s">
        <v>53</v>
      </c>
      <c r="B5" s="2" t="s">
        <v>39</v>
      </c>
      <c r="C5" s="2" t="s">
        <v>54</v>
      </c>
      <c r="D5" s="2" t="s">
        <v>55</v>
      </c>
    </row>
    <row r="6" spans="1:4" x14ac:dyDescent="0.2">
      <c r="A6">
        <v>1</v>
      </c>
      <c r="B6">
        <f>+A6*$A$3</f>
        <v>9</v>
      </c>
      <c r="C6">
        <f>+A6*$B$3</f>
        <v>31</v>
      </c>
      <c r="D6">
        <f>+A6*$C$3</f>
        <v>50</v>
      </c>
    </row>
    <row r="7" spans="1:4" x14ac:dyDescent="0.2">
      <c r="A7">
        <f>+A6+1</f>
        <v>2</v>
      </c>
      <c r="B7">
        <f t="shared" ref="B7:B35" si="0">+A7*$A$3</f>
        <v>18</v>
      </c>
      <c r="C7">
        <f t="shared" ref="C7:C15" si="1">+A7*$B$3</f>
        <v>62</v>
      </c>
      <c r="D7">
        <f t="shared" ref="D7:D15" si="2">+A7*$C$3</f>
        <v>100</v>
      </c>
    </row>
    <row r="8" spans="1:4" x14ac:dyDescent="0.2">
      <c r="A8">
        <f t="shared" ref="A8:A34" si="3">+A7+1</f>
        <v>3</v>
      </c>
      <c r="B8">
        <f t="shared" si="0"/>
        <v>27</v>
      </c>
      <c r="C8">
        <f t="shared" si="1"/>
        <v>93</v>
      </c>
      <c r="D8">
        <f t="shared" si="2"/>
        <v>150</v>
      </c>
    </row>
    <row r="9" spans="1:4" x14ac:dyDescent="0.2">
      <c r="A9">
        <f t="shared" si="3"/>
        <v>4</v>
      </c>
      <c r="B9">
        <f t="shared" si="0"/>
        <v>36</v>
      </c>
      <c r="C9">
        <f t="shared" si="1"/>
        <v>124</v>
      </c>
      <c r="D9">
        <f t="shared" si="2"/>
        <v>200</v>
      </c>
    </row>
    <row r="10" spans="1:4" x14ac:dyDescent="0.2">
      <c r="A10">
        <f t="shared" si="3"/>
        <v>5</v>
      </c>
      <c r="B10">
        <f t="shared" si="0"/>
        <v>45</v>
      </c>
      <c r="C10">
        <f t="shared" si="1"/>
        <v>155</v>
      </c>
      <c r="D10">
        <f t="shared" si="2"/>
        <v>250</v>
      </c>
    </row>
    <row r="11" spans="1:4" x14ac:dyDescent="0.2">
      <c r="A11">
        <f t="shared" si="3"/>
        <v>6</v>
      </c>
      <c r="B11">
        <f t="shared" si="0"/>
        <v>54</v>
      </c>
      <c r="C11">
        <f t="shared" si="1"/>
        <v>186</v>
      </c>
      <c r="D11">
        <f t="shared" si="2"/>
        <v>300</v>
      </c>
    </row>
    <row r="12" spans="1:4" x14ac:dyDescent="0.2">
      <c r="A12">
        <f t="shared" si="3"/>
        <v>7</v>
      </c>
      <c r="B12">
        <f t="shared" si="0"/>
        <v>63</v>
      </c>
      <c r="C12">
        <f t="shared" si="1"/>
        <v>217</v>
      </c>
      <c r="D12">
        <f t="shared" si="2"/>
        <v>350</v>
      </c>
    </row>
    <row r="13" spans="1:4" x14ac:dyDescent="0.2">
      <c r="A13">
        <f t="shared" si="3"/>
        <v>8</v>
      </c>
      <c r="B13">
        <f t="shared" si="0"/>
        <v>72</v>
      </c>
      <c r="C13">
        <f t="shared" si="1"/>
        <v>248</v>
      </c>
      <c r="D13">
        <f t="shared" si="2"/>
        <v>400</v>
      </c>
    </row>
    <row r="14" spans="1:4" x14ac:dyDescent="0.2">
      <c r="A14">
        <f t="shared" si="3"/>
        <v>9</v>
      </c>
      <c r="B14">
        <f t="shared" si="0"/>
        <v>81</v>
      </c>
      <c r="C14">
        <f t="shared" si="1"/>
        <v>279</v>
      </c>
      <c r="D14">
        <f t="shared" si="2"/>
        <v>450</v>
      </c>
    </row>
    <row r="15" spans="1:4" x14ac:dyDescent="0.2">
      <c r="A15">
        <f t="shared" si="3"/>
        <v>10</v>
      </c>
      <c r="B15">
        <f t="shared" si="0"/>
        <v>90</v>
      </c>
      <c r="C15">
        <f t="shared" si="1"/>
        <v>310</v>
      </c>
      <c r="D15">
        <f t="shared" si="2"/>
        <v>500</v>
      </c>
    </row>
    <row r="16" spans="1:4" x14ac:dyDescent="0.2">
      <c r="A16">
        <f t="shared" si="3"/>
        <v>11</v>
      </c>
      <c r="B16">
        <f t="shared" si="0"/>
        <v>99</v>
      </c>
      <c r="C16">
        <f t="shared" ref="C16:C34" si="4">+A16*$B$3</f>
        <v>341</v>
      </c>
      <c r="D16">
        <f t="shared" ref="D16:D34" si="5">+A16*$C$3</f>
        <v>550</v>
      </c>
    </row>
    <row r="17" spans="1:4" x14ac:dyDescent="0.2">
      <c r="A17">
        <f t="shared" si="3"/>
        <v>12</v>
      </c>
      <c r="B17">
        <f t="shared" si="0"/>
        <v>108</v>
      </c>
      <c r="C17">
        <f t="shared" si="4"/>
        <v>372</v>
      </c>
      <c r="D17">
        <f t="shared" si="5"/>
        <v>600</v>
      </c>
    </row>
    <row r="18" spans="1:4" x14ac:dyDescent="0.2">
      <c r="A18">
        <f t="shared" si="3"/>
        <v>13</v>
      </c>
      <c r="B18">
        <f t="shared" si="0"/>
        <v>117</v>
      </c>
      <c r="C18">
        <f t="shared" si="4"/>
        <v>403</v>
      </c>
      <c r="D18">
        <f t="shared" si="5"/>
        <v>650</v>
      </c>
    </row>
    <row r="19" spans="1:4" x14ac:dyDescent="0.2">
      <c r="A19">
        <f t="shared" si="3"/>
        <v>14</v>
      </c>
      <c r="B19">
        <f t="shared" si="0"/>
        <v>126</v>
      </c>
      <c r="C19">
        <f t="shared" si="4"/>
        <v>434</v>
      </c>
      <c r="D19">
        <f t="shared" si="5"/>
        <v>700</v>
      </c>
    </row>
    <row r="20" spans="1:4" x14ac:dyDescent="0.2">
      <c r="A20">
        <f t="shared" si="3"/>
        <v>15</v>
      </c>
      <c r="B20">
        <f t="shared" si="0"/>
        <v>135</v>
      </c>
      <c r="C20">
        <f t="shared" si="4"/>
        <v>465</v>
      </c>
      <c r="D20">
        <f t="shared" si="5"/>
        <v>750</v>
      </c>
    </row>
    <row r="21" spans="1:4" x14ac:dyDescent="0.2">
      <c r="A21">
        <f t="shared" si="3"/>
        <v>16</v>
      </c>
      <c r="B21">
        <f t="shared" si="0"/>
        <v>144</v>
      </c>
      <c r="C21">
        <f t="shared" si="4"/>
        <v>496</v>
      </c>
      <c r="D21">
        <f t="shared" si="5"/>
        <v>800</v>
      </c>
    </row>
    <row r="22" spans="1:4" x14ac:dyDescent="0.2">
      <c r="A22">
        <f t="shared" si="3"/>
        <v>17</v>
      </c>
      <c r="B22">
        <f t="shared" si="0"/>
        <v>153</v>
      </c>
      <c r="C22">
        <f t="shared" si="4"/>
        <v>527</v>
      </c>
      <c r="D22">
        <f t="shared" si="5"/>
        <v>850</v>
      </c>
    </row>
    <row r="23" spans="1:4" x14ac:dyDescent="0.2">
      <c r="A23">
        <f t="shared" si="3"/>
        <v>18</v>
      </c>
      <c r="B23">
        <f t="shared" si="0"/>
        <v>162</v>
      </c>
      <c r="C23">
        <f t="shared" si="4"/>
        <v>558</v>
      </c>
      <c r="D23">
        <f t="shared" si="5"/>
        <v>900</v>
      </c>
    </row>
    <row r="24" spans="1:4" x14ac:dyDescent="0.2">
      <c r="A24">
        <f t="shared" si="3"/>
        <v>19</v>
      </c>
      <c r="B24">
        <f t="shared" si="0"/>
        <v>171</v>
      </c>
      <c r="C24">
        <f t="shared" si="4"/>
        <v>589</v>
      </c>
      <c r="D24">
        <f t="shared" si="5"/>
        <v>950</v>
      </c>
    </row>
    <row r="25" spans="1:4" x14ac:dyDescent="0.2">
      <c r="A25">
        <f t="shared" si="3"/>
        <v>20</v>
      </c>
      <c r="B25">
        <f t="shared" si="0"/>
        <v>180</v>
      </c>
      <c r="C25">
        <f t="shared" si="4"/>
        <v>620</v>
      </c>
      <c r="D25">
        <f t="shared" si="5"/>
        <v>1000</v>
      </c>
    </row>
    <row r="26" spans="1:4" x14ac:dyDescent="0.2">
      <c r="A26">
        <f t="shared" si="3"/>
        <v>21</v>
      </c>
      <c r="B26">
        <f t="shared" si="0"/>
        <v>189</v>
      </c>
      <c r="C26">
        <f t="shared" si="4"/>
        <v>651</v>
      </c>
      <c r="D26">
        <f t="shared" si="5"/>
        <v>1050</v>
      </c>
    </row>
    <row r="27" spans="1:4" x14ac:dyDescent="0.2">
      <c r="A27">
        <f t="shared" si="3"/>
        <v>22</v>
      </c>
      <c r="B27">
        <f t="shared" si="0"/>
        <v>198</v>
      </c>
      <c r="C27">
        <f t="shared" si="4"/>
        <v>682</v>
      </c>
      <c r="D27">
        <f t="shared" si="5"/>
        <v>1100</v>
      </c>
    </row>
    <row r="28" spans="1:4" x14ac:dyDescent="0.2">
      <c r="A28">
        <f t="shared" si="3"/>
        <v>23</v>
      </c>
      <c r="B28">
        <f t="shared" si="0"/>
        <v>207</v>
      </c>
      <c r="C28">
        <f t="shared" si="4"/>
        <v>713</v>
      </c>
      <c r="D28">
        <f t="shared" si="5"/>
        <v>1150</v>
      </c>
    </row>
    <row r="29" spans="1:4" x14ac:dyDescent="0.2">
      <c r="A29">
        <f t="shared" si="3"/>
        <v>24</v>
      </c>
      <c r="B29">
        <f t="shared" si="0"/>
        <v>216</v>
      </c>
      <c r="C29">
        <f t="shared" si="4"/>
        <v>744</v>
      </c>
      <c r="D29">
        <f t="shared" si="5"/>
        <v>1200</v>
      </c>
    </row>
    <row r="30" spans="1:4" x14ac:dyDescent="0.2">
      <c r="A30">
        <f t="shared" si="3"/>
        <v>25</v>
      </c>
      <c r="B30">
        <f t="shared" si="0"/>
        <v>225</v>
      </c>
      <c r="C30">
        <f t="shared" si="4"/>
        <v>775</v>
      </c>
      <c r="D30">
        <f t="shared" si="5"/>
        <v>1250</v>
      </c>
    </row>
    <row r="31" spans="1:4" x14ac:dyDescent="0.2">
      <c r="A31">
        <f t="shared" si="3"/>
        <v>26</v>
      </c>
      <c r="B31">
        <f t="shared" si="0"/>
        <v>234</v>
      </c>
      <c r="C31">
        <f t="shared" si="4"/>
        <v>806</v>
      </c>
      <c r="D31">
        <f t="shared" si="5"/>
        <v>1300</v>
      </c>
    </row>
    <row r="32" spans="1:4" x14ac:dyDescent="0.2">
      <c r="A32">
        <f t="shared" si="3"/>
        <v>27</v>
      </c>
      <c r="B32">
        <f t="shared" si="0"/>
        <v>243</v>
      </c>
      <c r="C32">
        <f t="shared" si="4"/>
        <v>837</v>
      </c>
      <c r="D32">
        <f t="shared" si="5"/>
        <v>1350</v>
      </c>
    </row>
    <row r="33" spans="1:4" x14ac:dyDescent="0.2">
      <c r="A33">
        <f t="shared" si="3"/>
        <v>28</v>
      </c>
      <c r="B33">
        <f t="shared" si="0"/>
        <v>252</v>
      </c>
      <c r="C33">
        <f t="shared" si="4"/>
        <v>868</v>
      </c>
      <c r="D33">
        <f t="shared" si="5"/>
        <v>1400</v>
      </c>
    </row>
    <row r="34" spans="1:4" x14ac:dyDescent="0.2">
      <c r="A34">
        <f t="shared" si="3"/>
        <v>29</v>
      </c>
      <c r="B34">
        <f t="shared" si="0"/>
        <v>261</v>
      </c>
      <c r="C34">
        <f t="shared" si="4"/>
        <v>899</v>
      </c>
      <c r="D34">
        <f t="shared" si="5"/>
        <v>1450</v>
      </c>
    </row>
    <row r="35" spans="1:4" x14ac:dyDescent="0.2">
      <c r="A35">
        <f>+A34+1</f>
        <v>30</v>
      </c>
      <c r="B35">
        <f t="shared" si="0"/>
        <v>270</v>
      </c>
      <c r="C35">
        <f>+A35*$B$3</f>
        <v>930</v>
      </c>
      <c r="D35">
        <f>+A35*$C$3</f>
        <v>1500</v>
      </c>
    </row>
  </sheetData>
  <mergeCells count="1">
    <mergeCell ref="A1:C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312D-F416-4234-BEA5-D7B184A5D4E9}">
  <dimension ref="A1:E30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2.75" x14ac:dyDescent="0.2"/>
  <cols>
    <col min="1" max="1" width="36.5703125" customWidth="1"/>
    <col min="4" max="5" width="9.140625" style="4"/>
  </cols>
  <sheetData>
    <row r="1" spans="1:5" x14ac:dyDescent="0.2">
      <c r="A1" s="1" t="s">
        <v>60</v>
      </c>
      <c r="B1">
        <v>300</v>
      </c>
      <c r="D1" s="3" t="s">
        <v>63</v>
      </c>
      <c r="E1" s="3" t="s">
        <v>65</v>
      </c>
    </row>
    <row r="2" spans="1:5" x14ac:dyDescent="0.2">
      <c r="A2" s="1" t="s">
        <v>61</v>
      </c>
      <c r="B2">
        <v>60</v>
      </c>
      <c r="D2" s="3" t="s">
        <v>58</v>
      </c>
      <c r="E2" s="3" t="s">
        <v>39</v>
      </c>
    </row>
    <row r="3" spans="1:5" x14ac:dyDescent="0.2">
      <c r="A3" s="1" t="s">
        <v>62</v>
      </c>
      <c r="B3">
        <f>1/+B1*B2/100</f>
        <v>2E-3</v>
      </c>
      <c r="D3" s="3" t="s">
        <v>64</v>
      </c>
      <c r="E3" s="3" t="s">
        <v>66</v>
      </c>
    </row>
    <row r="4" spans="1:5" x14ac:dyDescent="0.2">
      <c r="D4" s="4">
        <v>1</v>
      </c>
      <c r="E4" s="8">
        <f>+D4*$B$3</f>
        <v>2E-3</v>
      </c>
    </row>
    <row r="5" spans="1:5" x14ac:dyDescent="0.2">
      <c r="D5" s="4">
        <f>+D4+1</f>
        <v>2</v>
      </c>
      <c r="E5" s="8">
        <f t="shared" ref="E5:E68" si="0">+D5*$B$3</f>
        <v>4.0000000000000001E-3</v>
      </c>
    </row>
    <row r="6" spans="1:5" x14ac:dyDescent="0.2">
      <c r="D6" s="4">
        <f t="shared" ref="D6:D69" si="1">+D5+1</f>
        <v>3</v>
      </c>
      <c r="E6" s="8">
        <f t="shared" si="0"/>
        <v>6.0000000000000001E-3</v>
      </c>
    </row>
    <row r="7" spans="1:5" x14ac:dyDescent="0.2">
      <c r="D7" s="4">
        <f t="shared" si="1"/>
        <v>4</v>
      </c>
      <c r="E7" s="8">
        <f t="shared" si="0"/>
        <v>8.0000000000000002E-3</v>
      </c>
    </row>
    <row r="8" spans="1:5" x14ac:dyDescent="0.2">
      <c r="D8" s="4">
        <f t="shared" si="1"/>
        <v>5</v>
      </c>
      <c r="E8" s="8">
        <f t="shared" si="0"/>
        <v>0.01</v>
      </c>
    </row>
    <row r="9" spans="1:5" x14ac:dyDescent="0.2">
      <c r="D9" s="4">
        <f t="shared" si="1"/>
        <v>6</v>
      </c>
      <c r="E9" s="8">
        <f t="shared" si="0"/>
        <v>1.2E-2</v>
      </c>
    </row>
    <row r="10" spans="1:5" x14ac:dyDescent="0.2">
      <c r="D10" s="4">
        <f t="shared" si="1"/>
        <v>7</v>
      </c>
      <c r="E10" s="8">
        <f t="shared" si="0"/>
        <v>1.4E-2</v>
      </c>
    </row>
    <row r="11" spans="1:5" x14ac:dyDescent="0.2">
      <c r="D11" s="4">
        <f t="shared" si="1"/>
        <v>8</v>
      </c>
      <c r="E11" s="8">
        <f t="shared" si="0"/>
        <v>1.6E-2</v>
      </c>
    </row>
    <row r="12" spans="1:5" x14ac:dyDescent="0.2">
      <c r="D12" s="4">
        <f t="shared" si="1"/>
        <v>9</v>
      </c>
      <c r="E12" s="8">
        <f t="shared" si="0"/>
        <v>1.8000000000000002E-2</v>
      </c>
    </row>
    <row r="13" spans="1:5" x14ac:dyDescent="0.2">
      <c r="D13" s="4">
        <f t="shared" si="1"/>
        <v>10</v>
      </c>
      <c r="E13" s="8">
        <f t="shared" si="0"/>
        <v>0.02</v>
      </c>
    </row>
    <row r="14" spans="1:5" x14ac:dyDescent="0.2">
      <c r="D14" s="4">
        <f t="shared" si="1"/>
        <v>11</v>
      </c>
      <c r="E14" s="8">
        <f t="shared" si="0"/>
        <v>2.1999999999999999E-2</v>
      </c>
    </row>
    <row r="15" spans="1:5" x14ac:dyDescent="0.2">
      <c r="D15" s="4">
        <f t="shared" si="1"/>
        <v>12</v>
      </c>
      <c r="E15" s="8">
        <f t="shared" si="0"/>
        <v>2.4E-2</v>
      </c>
    </row>
    <row r="16" spans="1:5" x14ac:dyDescent="0.2">
      <c r="D16" s="4">
        <f t="shared" si="1"/>
        <v>13</v>
      </c>
      <c r="E16" s="8">
        <f t="shared" si="0"/>
        <v>2.6000000000000002E-2</v>
      </c>
    </row>
    <row r="17" spans="4:5" x14ac:dyDescent="0.2">
      <c r="D17" s="4">
        <f t="shared" si="1"/>
        <v>14</v>
      </c>
      <c r="E17" s="8">
        <f t="shared" si="0"/>
        <v>2.8000000000000001E-2</v>
      </c>
    </row>
    <row r="18" spans="4:5" x14ac:dyDescent="0.2">
      <c r="D18" s="4">
        <f t="shared" si="1"/>
        <v>15</v>
      </c>
      <c r="E18" s="8">
        <f t="shared" si="0"/>
        <v>0.03</v>
      </c>
    </row>
    <row r="19" spans="4:5" x14ac:dyDescent="0.2">
      <c r="D19" s="4">
        <f t="shared" si="1"/>
        <v>16</v>
      </c>
      <c r="E19" s="8">
        <f t="shared" si="0"/>
        <v>3.2000000000000001E-2</v>
      </c>
    </row>
    <row r="20" spans="4:5" x14ac:dyDescent="0.2">
      <c r="D20" s="4">
        <f t="shared" si="1"/>
        <v>17</v>
      </c>
      <c r="E20" s="8">
        <f t="shared" si="0"/>
        <v>3.4000000000000002E-2</v>
      </c>
    </row>
    <row r="21" spans="4:5" x14ac:dyDescent="0.2">
      <c r="D21" s="4">
        <f t="shared" si="1"/>
        <v>18</v>
      </c>
      <c r="E21" s="8">
        <f t="shared" si="0"/>
        <v>3.6000000000000004E-2</v>
      </c>
    </row>
    <row r="22" spans="4:5" x14ac:dyDescent="0.2">
      <c r="D22" s="4">
        <f t="shared" si="1"/>
        <v>19</v>
      </c>
      <c r="E22" s="8">
        <f t="shared" si="0"/>
        <v>3.7999999999999999E-2</v>
      </c>
    </row>
    <row r="23" spans="4:5" x14ac:dyDescent="0.2">
      <c r="D23" s="4">
        <f t="shared" si="1"/>
        <v>20</v>
      </c>
      <c r="E23" s="8">
        <f t="shared" si="0"/>
        <v>0.04</v>
      </c>
    </row>
    <row r="24" spans="4:5" x14ac:dyDescent="0.2">
      <c r="D24" s="4">
        <f t="shared" si="1"/>
        <v>21</v>
      </c>
      <c r="E24" s="8">
        <f t="shared" si="0"/>
        <v>4.2000000000000003E-2</v>
      </c>
    </row>
    <row r="25" spans="4:5" x14ac:dyDescent="0.2">
      <c r="D25" s="4">
        <f t="shared" si="1"/>
        <v>22</v>
      </c>
      <c r="E25" s="8">
        <f t="shared" si="0"/>
        <v>4.3999999999999997E-2</v>
      </c>
    </row>
    <row r="26" spans="4:5" x14ac:dyDescent="0.2">
      <c r="D26" s="4">
        <f t="shared" si="1"/>
        <v>23</v>
      </c>
      <c r="E26" s="8">
        <f t="shared" si="0"/>
        <v>4.5999999999999999E-2</v>
      </c>
    </row>
    <row r="27" spans="4:5" x14ac:dyDescent="0.2">
      <c r="D27" s="4">
        <f t="shared" si="1"/>
        <v>24</v>
      </c>
      <c r="E27" s="8">
        <f t="shared" si="0"/>
        <v>4.8000000000000001E-2</v>
      </c>
    </row>
    <row r="28" spans="4:5" x14ac:dyDescent="0.2">
      <c r="D28" s="4">
        <f t="shared" si="1"/>
        <v>25</v>
      </c>
      <c r="E28" s="8">
        <f t="shared" si="0"/>
        <v>0.05</v>
      </c>
    </row>
    <row r="29" spans="4:5" x14ac:dyDescent="0.2">
      <c r="D29" s="4">
        <f t="shared" si="1"/>
        <v>26</v>
      </c>
      <c r="E29" s="8">
        <f t="shared" si="0"/>
        <v>5.2000000000000005E-2</v>
      </c>
    </row>
    <row r="30" spans="4:5" x14ac:dyDescent="0.2">
      <c r="D30" s="4">
        <f t="shared" si="1"/>
        <v>27</v>
      </c>
      <c r="E30" s="8">
        <f t="shared" si="0"/>
        <v>5.3999999999999999E-2</v>
      </c>
    </row>
    <row r="31" spans="4:5" x14ac:dyDescent="0.2">
      <c r="D31" s="4">
        <f t="shared" si="1"/>
        <v>28</v>
      </c>
      <c r="E31" s="8">
        <f t="shared" si="0"/>
        <v>5.6000000000000001E-2</v>
      </c>
    </row>
    <row r="32" spans="4:5" x14ac:dyDescent="0.2">
      <c r="D32" s="4">
        <f t="shared" si="1"/>
        <v>29</v>
      </c>
      <c r="E32" s="8">
        <f t="shared" si="0"/>
        <v>5.8000000000000003E-2</v>
      </c>
    </row>
    <row r="33" spans="4:5" x14ac:dyDescent="0.2">
      <c r="D33" s="4">
        <f t="shared" si="1"/>
        <v>30</v>
      </c>
      <c r="E33" s="8">
        <f t="shared" si="0"/>
        <v>0.06</v>
      </c>
    </row>
    <row r="34" spans="4:5" x14ac:dyDescent="0.2">
      <c r="D34" s="4">
        <f t="shared" si="1"/>
        <v>31</v>
      </c>
      <c r="E34" s="8">
        <f t="shared" si="0"/>
        <v>6.2E-2</v>
      </c>
    </row>
    <row r="35" spans="4:5" x14ac:dyDescent="0.2">
      <c r="D35" s="4">
        <f t="shared" si="1"/>
        <v>32</v>
      </c>
      <c r="E35" s="8">
        <f t="shared" si="0"/>
        <v>6.4000000000000001E-2</v>
      </c>
    </row>
    <row r="36" spans="4:5" x14ac:dyDescent="0.2">
      <c r="D36" s="4">
        <f t="shared" si="1"/>
        <v>33</v>
      </c>
      <c r="E36" s="8">
        <f t="shared" si="0"/>
        <v>6.6000000000000003E-2</v>
      </c>
    </row>
    <row r="37" spans="4:5" x14ac:dyDescent="0.2">
      <c r="D37" s="4">
        <f t="shared" si="1"/>
        <v>34</v>
      </c>
      <c r="E37" s="8">
        <f t="shared" si="0"/>
        <v>6.8000000000000005E-2</v>
      </c>
    </row>
    <row r="38" spans="4:5" x14ac:dyDescent="0.2">
      <c r="D38" s="4">
        <f t="shared" si="1"/>
        <v>35</v>
      </c>
      <c r="E38" s="8">
        <f t="shared" si="0"/>
        <v>7.0000000000000007E-2</v>
      </c>
    </row>
    <row r="39" spans="4:5" x14ac:dyDescent="0.2">
      <c r="D39" s="4">
        <f t="shared" si="1"/>
        <v>36</v>
      </c>
      <c r="E39" s="8">
        <f t="shared" si="0"/>
        <v>7.2000000000000008E-2</v>
      </c>
    </row>
    <row r="40" spans="4:5" x14ac:dyDescent="0.2">
      <c r="D40" s="4">
        <f t="shared" si="1"/>
        <v>37</v>
      </c>
      <c r="E40" s="8">
        <f t="shared" si="0"/>
        <v>7.3999999999999996E-2</v>
      </c>
    </row>
    <row r="41" spans="4:5" x14ac:dyDescent="0.2">
      <c r="D41" s="4">
        <f t="shared" si="1"/>
        <v>38</v>
      </c>
      <c r="E41" s="8">
        <f t="shared" si="0"/>
        <v>7.5999999999999998E-2</v>
      </c>
    </row>
    <row r="42" spans="4:5" x14ac:dyDescent="0.2">
      <c r="D42" s="4">
        <f t="shared" si="1"/>
        <v>39</v>
      </c>
      <c r="E42" s="8">
        <f t="shared" si="0"/>
        <v>7.8E-2</v>
      </c>
    </row>
    <row r="43" spans="4:5" x14ac:dyDescent="0.2">
      <c r="D43" s="4">
        <f t="shared" si="1"/>
        <v>40</v>
      </c>
      <c r="E43" s="8">
        <f t="shared" si="0"/>
        <v>0.08</v>
      </c>
    </row>
    <row r="44" spans="4:5" x14ac:dyDescent="0.2">
      <c r="D44" s="4">
        <f t="shared" si="1"/>
        <v>41</v>
      </c>
      <c r="E44" s="8">
        <f t="shared" si="0"/>
        <v>8.2000000000000003E-2</v>
      </c>
    </row>
    <row r="45" spans="4:5" x14ac:dyDescent="0.2">
      <c r="D45" s="4">
        <f t="shared" si="1"/>
        <v>42</v>
      </c>
      <c r="E45" s="8">
        <f t="shared" si="0"/>
        <v>8.4000000000000005E-2</v>
      </c>
    </row>
    <row r="46" spans="4:5" x14ac:dyDescent="0.2">
      <c r="D46" s="4">
        <f t="shared" si="1"/>
        <v>43</v>
      </c>
      <c r="E46" s="8">
        <f t="shared" si="0"/>
        <v>8.6000000000000007E-2</v>
      </c>
    </row>
    <row r="47" spans="4:5" x14ac:dyDescent="0.2">
      <c r="D47" s="4">
        <f t="shared" si="1"/>
        <v>44</v>
      </c>
      <c r="E47" s="8">
        <f t="shared" si="0"/>
        <v>8.7999999999999995E-2</v>
      </c>
    </row>
    <row r="48" spans="4:5" x14ac:dyDescent="0.2">
      <c r="D48" s="4">
        <f t="shared" si="1"/>
        <v>45</v>
      </c>
      <c r="E48" s="8">
        <f t="shared" si="0"/>
        <v>0.09</v>
      </c>
    </row>
    <row r="49" spans="4:5" x14ac:dyDescent="0.2">
      <c r="D49" s="4">
        <f t="shared" si="1"/>
        <v>46</v>
      </c>
      <c r="E49" s="8">
        <f t="shared" si="0"/>
        <v>9.1999999999999998E-2</v>
      </c>
    </row>
    <row r="50" spans="4:5" x14ac:dyDescent="0.2">
      <c r="D50" s="4">
        <f t="shared" si="1"/>
        <v>47</v>
      </c>
      <c r="E50" s="8">
        <f t="shared" si="0"/>
        <v>9.4E-2</v>
      </c>
    </row>
    <row r="51" spans="4:5" x14ac:dyDescent="0.2">
      <c r="D51" s="4">
        <f t="shared" si="1"/>
        <v>48</v>
      </c>
      <c r="E51" s="8">
        <f t="shared" si="0"/>
        <v>9.6000000000000002E-2</v>
      </c>
    </row>
    <row r="52" spans="4:5" x14ac:dyDescent="0.2">
      <c r="D52" s="4">
        <f t="shared" si="1"/>
        <v>49</v>
      </c>
      <c r="E52" s="8">
        <f t="shared" si="0"/>
        <v>9.8000000000000004E-2</v>
      </c>
    </row>
    <row r="53" spans="4:5" x14ac:dyDescent="0.2">
      <c r="D53" s="4">
        <f t="shared" si="1"/>
        <v>50</v>
      </c>
      <c r="E53" s="8">
        <f t="shared" si="0"/>
        <v>0.1</v>
      </c>
    </row>
    <row r="54" spans="4:5" x14ac:dyDescent="0.2">
      <c r="D54" s="4">
        <f t="shared" si="1"/>
        <v>51</v>
      </c>
      <c r="E54" s="8">
        <f t="shared" si="0"/>
        <v>0.10200000000000001</v>
      </c>
    </row>
    <row r="55" spans="4:5" x14ac:dyDescent="0.2">
      <c r="D55" s="4">
        <f t="shared" si="1"/>
        <v>52</v>
      </c>
      <c r="E55" s="8">
        <f t="shared" si="0"/>
        <v>0.10400000000000001</v>
      </c>
    </row>
    <row r="56" spans="4:5" x14ac:dyDescent="0.2">
      <c r="D56" s="4">
        <f t="shared" si="1"/>
        <v>53</v>
      </c>
      <c r="E56" s="8">
        <f t="shared" si="0"/>
        <v>0.106</v>
      </c>
    </row>
    <row r="57" spans="4:5" x14ac:dyDescent="0.2">
      <c r="D57" s="4">
        <f t="shared" si="1"/>
        <v>54</v>
      </c>
      <c r="E57" s="8">
        <f t="shared" si="0"/>
        <v>0.108</v>
      </c>
    </row>
    <row r="58" spans="4:5" x14ac:dyDescent="0.2">
      <c r="D58" s="4">
        <f t="shared" si="1"/>
        <v>55</v>
      </c>
      <c r="E58" s="8">
        <f t="shared" si="0"/>
        <v>0.11</v>
      </c>
    </row>
    <row r="59" spans="4:5" x14ac:dyDescent="0.2">
      <c r="D59" s="4">
        <f t="shared" si="1"/>
        <v>56</v>
      </c>
      <c r="E59" s="8">
        <f t="shared" si="0"/>
        <v>0.112</v>
      </c>
    </row>
    <row r="60" spans="4:5" x14ac:dyDescent="0.2">
      <c r="D60" s="4">
        <f t="shared" si="1"/>
        <v>57</v>
      </c>
      <c r="E60" s="8">
        <f t="shared" si="0"/>
        <v>0.114</v>
      </c>
    </row>
    <row r="61" spans="4:5" x14ac:dyDescent="0.2">
      <c r="D61" s="4">
        <f t="shared" si="1"/>
        <v>58</v>
      </c>
      <c r="E61" s="8">
        <f t="shared" si="0"/>
        <v>0.11600000000000001</v>
      </c>
    </row>
    <row r="62" spans="4:5" x14ac:dyDescent="0.2">
      <c r="D62" s="4">
        <f t="shared" si="1"/>
        <v>59</v>
      </c>
      <c r="E62" s="8">
        <f t="shared" si="0"/>
        <v>0.11800000000000001</v>
      </c>
    </row>
    <row r="63" spans="4:5" x14ac:dyDescent="0.2">
      <c r="D63" s="4">
        <f t="shared" si="1"/>
        <v>60</v>
      </c>
      <c r="E63" s="8">
        <f t="shared" si="0"/>
        <v>0.12</v>
      </c>
    </row>
    <row r="64" spans="4:5" x14ac:dyDescent="0.2">
      <c r="D64" s="4">
        <f t="shared" si="1"/>
        <v>61</v>
      </c>
      <c r="E64" s="8">
        <f t="shared" si="0"/>
        <v>0.122</v>
      </c>
    </row>
    <row r="65" spans="4:5" x14ac:dyDescent="0.2">
      <c r="D65" s="4">
        <f t="shared" si="1"/>
        <v>62</v>
      </c>
      <c r="E65" s="8">
        <f t="shared" si="0"/>
        <v>0.124</v>
      </c>
    </row>
    <row r="66" spans="4:5" x14ac:dyDescent="0.2">
      <c r="D66" s="4">
        <f t="shared" si="1"/>
        <v>63</v>
      </c>
      <c r="E66" s="8">
        <f t="shared" si="0"/>
        <v>0.126</v>
      </c>
    </row>
    <row r="67" spans="4:5" x14ac:dyDescent="0.2">
      <c r="D67" s="4">
        <f t="shared" si="1"/>
        <v>64</v>
      </c>
      <c r="E67" s="8">
        <f t="shared" si="0"/>
        <v>0.128</v>
      </c>
    </row>
    <row r="68" spans="4:5" x14ac:dyDescent="0.2">
      <c r="D68" s="4">
        <f t="shared" si="1"/>
        <v>65</v>
      </c>
      <c r="E68" s="8">
        <f t="shared" si="0"/>
        <v>0.13</v>
      </c>
    </row>
    <row r="69" spans="4:5" x14ac:dyDescent="0.2">
      <c r="D69" s="4">
        <f t="shared" si="1"/>
        <v>66</v>
      </c>
      <c r="E69" s="8">
        <f t="shared" ref="E69:E132" si="2">+D69*$B$3</f>
        <v>0.13200000000000001</v>
      </c>
    </row>
    <row r="70" spans="4:5" x14ac:dyDescent="0.2">
      <c r="D70" s="4">
        <f t="shared" ref="D70:D133" si="3">+D69+1</f>
        <v>67</v>
      </c>
      <c r="E70" s="8">
        <f t="shared" si="2"/>
        <v>0.13400000000000001</v>
      </c>
    </row>
    <row r="71" spans="4:5" x14ac:dyDescent="0.2">
      <c r="D71" s="4">
        <f t="shared" si="3"/>
        <v>68</v>
      </c>
      <c r="E71" s="8">
        <f t="shared" si="2"/>
        <v>0.13600000000000001</v>
      </c>
    </row>
    <row r="72" spans="4:5" x14ac:dyDescent="0.2">
      <c r="D72" s="4">
        <f t="shared" si="3"/>
        <v>69</v>
      </c>
      <c r="E72" s="8">
        <f t="shared" si="2"/>
        <v>0.13800000000000001</v>
      </c>
    </row>
    <row r="73" spans="4:5" x14ac:dyDescent="0.2">
      <c r="D73" s="4">
        <f t="shared" si="3"/>
        <v>70</v>
      </c>
      <c r="E73" s="8">
        <f t="shared" si="2"/>
        <v>0.14000000000000001</v>
      </c>
    </row>
    <row r="74" spans="4:5" x14ac:dyDescent="0.2">
      <c r="D74" s="4">
        <f t="shared" si="3"/>
        <v>71</v>
      </c>
      <c r="E74" s="8">
        <f t="shared" si="2"/>
        <v>0.14200000000000002</v>
      </c>
    </row>
    <row r="75" spans="4:5" x14ac:dyDescent="0.2">
      <c r="D75" s="4">
        <f t="shared" si="3"/>
        <v>72</v>
      </c>
      <c r="E75" s="8">
        <f t="shared" si="2"/>
        <v>0.14400000000000002</v>
      </c>
    </row>
    <row r="76" spans="4:5" x14ac:dyDescent="0.2">
      <c r="D76" s="4">
        <f t="shared" si="3"/>
        <v>73</v>
      </c>
      <c r="E76" s="8">
        <f t="shared" si="2"/>
        <v>0.14599999999999999</v>
      </c>
    </row>
    <row r="77" spans="4:5" x14ac:dyDescent="0.2">
      <c r="D77" s="4">
        <f t="shared" si="3"/>
        <v>74</v>
      </c>
      <c r="E77" s="8">
        <f t="shared" si="2"/>
        <v>0.14799999999999999</v>
      </c>
    </row>
    <row r="78" spans="4:5" x14ac:dyDescent="0.2">
      <c r="D78" s="4">
        <f t="shared" si="3"/>
        <v>75</v>
      </c>
      <c r="E78" s="8">
        <f t="shared" si="2"/>
        <v>0.15</v>
      </c>
    </row>
    <row r="79" spans="4:5" x14ac:dyDescent="0.2">
      <c r="D79" s="4">
        <f t="shared" si="3"/>
        <v>76</v>
      </c>
      <c r="E79" s="8">
        <f t="shared" si="2"/>
        <v>0.152</v>
      </c>
    </row>
    <row r="80" spans="4:5" x14ac:dyDescent="0.2">
      <c r="D80" s="4">
        <f t="shared" si="3"/>
        <v>77</v>
      </c>
      <c r="E80" s="8">
        <f t="shared" si="2"/>
        <v>0.154</v>
      </c>
    </row>
    <row r="81" spans="4:5" x14ac:dyDescent="0.2">
      <c r="D81" s="4">
        <f t="shared" si="3"/>
        <v>78</v>
      </c>
      <c r="E81" s="8">
        <f t="shared" si="2"/>
        <v>0.156</v>
      </c>
    </row>
    <row r="82" spans="4:5" x14ac:dyDescent="0.2">
      <c r="D82" s="4">
        <f t="shared" si="3"/>
        <v>79</v>
      </c>
      <c r="E82" s="8">
        <f t="shared" si="2"/>
        <v>0.158</v>
      </c>
    </row>
    <row r="83" spans="4:5" x14ac:dyDescent="0.2">
      <c r="D83" s="4">
        <f t="shared" si="3"/>
        <v>80</v>
      </c>
      <c r="E83" s="8">
        <f t="shared" si="2"/>
        <v>0.16</v>
      </c>
    </row>
    <row r="84" spans="4:5" x14ac:dyDescent="0.2">
      <c r="D84" s="4">
        <f t="shared" si="3"/>
        <v>81</v>
      </c>
      <c r="E84" s="8">
        <f t="shared" si="2"/>
        <v>0.16200000000000001</v>
      </c>
    </row>
    <row r="85" spans="4:5" x14ac:dyDescent="0.2">
      <c r="D85" s="4">
        <f t="shared" si="3"/>
        <v>82</v>
      </c>
      <c r="E85" s="8">
        <f t="shared" si="2"/>
        <v>0.16400000000000001</v>
      </c>
    </row>
    <row r="86" spans="4:5" x14ac:dyDescent="0.2">
      <c r="D86" s="4">
        <f t="shared" si="3"/>
        <v>83</v>
      </c>
      <c r="E86" s="8">
        <f t="shared" si="2"/>
        <v>0.16600000000000001</v>
      </c>
    </row>
    <row r="87" spans="4:5" x14ac:dyDescent="0.2">
      <c r="D87" s="4">
        <f t="shared" si="3"/>
        <v>84</v>
      </c>
      <c r="E87" s="8">
        <f t="shared" si="2"/>
        <v>0.16800000000000001</v>
      </c>
    </row>
    <row r="88" spans="4:5" x14ac:dyDescent="0.2">
      <c r="D88" s="4">
        <f t="shared" si="3"/>
        <v>85</v>
      </c>
      <c r="E88" s="8">
        <f t="shared" si="2"/>
        <v>0.17</v>
      </c>
    </row>
    <row r="89" spans="4:5" x14ac:dyDescent="0.2">
      <c r="D89" s="4">
        <f t="shared" si="3"/>
        <v>86</v>
      </c>
      <c r="E89" s="8">
        <f t="shared" si="2"/>
        <v>0.17200000000000001</v>
      </c>
    </row>
    <row r="90" spans="4:5" x14ac:dyDescent="0.2">
      <c r="D90" s="4">
        <f t="shared" si="3"/>
        <v>87</v>
      </c>
      <c r="E90" s="8">
        <f t="shared" si="2"/>
        <v>0.17400000000000002</v>
      </c>
    </row>
    <row r="91" spans="4:5" x14ac:dyDescent="0.2">
      <c r="D91" s="4">
        <f t="shared" si="3"/>
        <v>88</v>
      </c>
      <c r="E91" s="8">
        <f t="shared" si="2"/>
        <v>0.17599999999999999</v>
      </c>
    </row>
    <row r="92" spans="4:5" x14ac:dyDescent="0.2">
      <c r="D92" s="4">
        <f t="shared" si="3"/>
        <v>89</v>
      </c>
      <c r="E92" s="8">
        <f t="shared" si="2"/>
        <v>0.17799999999999999</v>
      </c>
    </row>
    <row r="93" spans="4:5" x14ac:dyDescent="0.2">
      <c r="D93" s="4">
        <f t="shared" si="3"/>
        <v>90</v>
      </c>
      <c r="E93" s="8">
        <f t="shared" si="2"/>
        <v>0.18</v>
      </c>
    </row>
    <row r="94" spans="4:5" x14ac:dyDescent="0.2">
      <c r="D94" s="4">
        <f t="shared" si="3"/>
        <v>91</v>
      </c>
      <c r="E94" s="8">
        <f t="shared" si="2"/>
        <v>0.182</v>
      </c>
    </row>
    <row r="95" spans="4:5" x14ac:dyDescent="0.2">
      <c r="D95" s="4">
        <f t="shared" si="3"/>
        <v>92</v>
      </c>
      <c r="E95" s="8">
        <f t="shared" si="2"/>
        <v>0.184</v>
      </c>
    </row>
    <row r="96" spans="4:5" x14ac:dyDescent="0.2">
      <c r="D96" s="4">
        <f t="shared" si="3"/>
        <v>93</v>
      </c>
      <c r="E96" s="8">
        <f t="shared" si="2"/>
        <v>0.186</v>
      </c>
    </row>
    <row r="97" spans="4:5" x14ac:dyDescent="0.2">
      <c r="D97" s="4">
        <f t="shared" si="3"/>
        <v>94</v>
      </c>
      <c r="E97" s="8">
        <f t="shared" si="2"/>
        <v>0.188</v>
      </c>
    </row>
    <row r="98" spans="4:5" x14ac:dyDescent="0.2">
      <c r="D98" s="4">
        <f t="shared" si="3"/>
        <v>95</v>
      </c>
      <c r="E98" s="8">
        <f t="shared" si="2"/>
        <v>0.19</v>
      </c>
    </row>
    <row r="99" spans="4:5" x14ac:dyDescent="0.2">
      <c r="D99" s="4">
        <f t="shared" si="3"/>
        <v>96</v>
      </c>
      <c r="E99" s="8">
        <f t="shared" si="2"/>
        <v>0.192</v>
      </c>
    </row>
    <row r="100" spans="4:5" x14ac:dyDescent="0.2">
      <c r="D100" s="4">
        <f t="shared" si="3"/>
        <v>97</v>
      </c>
      <c r="E100" s="8">
        <f t="shared" si="2"/>
        <v>0.19400000000000001</v>
      </c>
    </row>
    <row r="101" spans="4:5" x14ac:dyDescent="0.2">
      <c r="D101" s="4">
        <f t="shared" si="3"/>
        <v>98</v>
      </c>
      <c r="E101" s="8">
        <f t="shared" si="2"/>
        <v>0.19600000000000001</v>
      </c>
    </row>
    <row r="102" spans="4:5" x14ac:dyDescent="0.2">
      <c r="D102" s="4">
        <f t="shared" si="3"/>
        <v>99</v>
      </c>
      <c r="E102" s="8">
        <f t="shared" si="2"/>
        <v>0.19800000000000001</v>
      </c>
    </row>
    <row r="103" spans="4:5" x14ac:dyDescent="0.2">
      <c r="D103" s="4">
        <f t="shared" si="3"/>
        <v>100</v>
      </c>
      <c r="E103" s="8">
        <f t="shared" si="2"/>
        <v>0.2</v>
      </c>
    </row>
    <row r="104" spans="4:5" x14ac:dyDescent="0.2">
      <c r="D104" s="4">
        <f t="shared" si="3"/>
        <v>101</v>
      </c>
      <c r="E104" s="8">
        <f t="shared" si="2"/>
        <v>0.20200000000000001</v>
      </c>
    </row>
    <row r="105" spans="4:5" x14ac:dyDescent="0.2">
      <c r="D105" s="4">
        <f t="shared" si="3"/>
        <v>102</v>
      </c>
      <c r="E105" s="8">
        <f t="shared" si="2"/>
        <v>0.20400000000000001</v>
      </c>
    </row>
    <row r="106" spans="4:5" x14ac:dyDescent="0.2">
      <c r="D106" s="4">
        <f t="shared" si="3"/>
        <v>103</v>
      </c>
      <c r="E106" s="8">
        <f t="shared" si="2"/>
        <v>0.20600000000000002</v>
      </c>
    </row>
    <row r="107" spans="4:5" x14ac:dyDescent="0.2">
      <c r="D107" s="4">
        <f t="shared" si="3"/>
        <v>104</v>
      </c>
      <c r="E107" s="8">
        <f t="shared" si="2"/>
        <v>0.20800000000000002</v>
      </c>
    </row>
    <row r="108" spans="4:5" x14ac:dyDescent="0.2">
      <c r="D108" s="4">
        <f t="shared" si="3"/>
        <v>105</v>
      </c>
      <c r="E108" s="8">
        <f t="shared" si="2"/>
        <v>0.21</v>
      </c>
    </row>
    <row r="109" spans="4:5" x14ac:dyDescent="0.2">
      <c r="D109" s="4">
        <f t="shared" si="3"/>
        <v>106</v>
      </c>
      <c r="E109" s="8">
        <f t="shared" si="2"/>
        <v>0.21199999999999999</v>
      </c>
    </row>
    <row r="110" spans="4:5" x14ac:dyDescent="0.2">
      <c r="D110" s="4">
        <f t="shared" si="3"/>
        <v>107</v>
      </c>
      <c r="E110" s="8">
        <f t="shared" si="2"/>
        <v>0.214</v>
      </c>
    </row>
    <row r="111" spans="4:5" x14ac:dyDescent="0.2">
      <c r="D111" s="4">
        <f t="shared" si="3"/>
        <v>108</v>
      </c>
      <c r="E111" s="8">
        <f t="shared" si="2"/>
        <v>0.216</v>
      </c>
    </row>
    <row r="112" spans="4:5" x14ac:dyDescent="0.2">
      <c r="D112" s="4">
        <f t="shared" si="3"/>
        <v>109</v>
      </c>
      <c r="E112" s="8">
        <f t="shared" si="2"/>
        <v>0.218</v>
      </c>
    </row>
    <row r="113" spans="4:5" x14ac:dyDescent="0.2">
      <c r="D113" s="4">
        <f t="shared" si="3"/>
        <v>110</v>
      </c>
      <c r="E113" s="8">
        <f t="shared" si="2"/>
        <v>0.22</v>
      </c>
    </row>
    <row r="114" spans="4:5" x14ac:dyDescent="0.2">
      <c r="D114" s="4">
        <f t="shared" si="3"/>
        <v>111</v>
      </c>
      <c r="E114" s="8">
        <f t="shared" si="2"/>
        <v>0.222</v>
      </c>
    </row>
    <row r="115" spans="4:5" x14ac:dyDescent="0.2">
      <c r="D115" s="4">
        <f t="shared" si="3"/>
        <v>112</v>
      </c>
      <c r="E115" s="8">
        <f t="shared" si="2"/>
        <v>0.224</v>
      </c>
    </row>
    <row r="116" spans="4:5" x14ac:dyDescent="0.2">
      <c r="D116" s="4">
        <f t="shared" si="3"/>
        <v>113</v>
      </c>
      <c r="E116" s="8">
        <f t="shared" si="2"/>
        <v>0.22600000000000001</v>
      </c>
    </row>
    <row r="117" spans="4:5" x14ac:dyDescent="0.2">
      <c r="D117" s="4">
        <f t="shared" si="3"/>
        <v>114</v>
      </c>
      <c r="E117" s="8">
        <f t="shared" si="2"/>
        <v>0.22800000000000001</v>
      </c>
    </row>
    <row r="118" spans="4:5" x14ac:dyDescent="0.2">
      <c r="D118" s="4">
        <f t="shared" si="3"/>
        <v>115</v>
      </c>
      <c r="E118" s="8">
        <f t="shared" si="2"/>
        <v>0.23</v>
      </c>
    </row>
    <row r="119" spans="4:5" x14ac:dyDescent="0.2">
      <c r="D119" s="4">
        <f t="shared" si="3"/>
        <v>116</v>
      </c>
      <c r="E119" s="8">
        <f t="shared" si="2"/>
        <v>0.23200000000000001</v>
      </c>
    </row>
    <row r="120" spans="4:5" x14ac:dyDescent="0.2">
      <c r="D120" s="4">
        <f t="shared" si="3"/>
        <v>117</v>
      </c>
      <c r="E120" s="8">
        <f t="shared" si="2"/>
        <v>0.23400000000000001</v>
      </c>
    </row>
    <row r="121" spans="4:5" x14ac:dyDescent="0.2">
      <c r="D121" s="4">
        <f t="shared" si="3"/>
        <v>118</v>
      </c>
      <c r="E121" s="8">
        <f t="shared" si="2"/>
        <v>0.23600000000000002</v>
      </c>
    </row>
    <row r="122" spans="4:5" x14ac:dyDescent="0.2">
      <c r="D122" s="4">
        <f t="shared" si="3"/>
        <v>119</v>
      </c>
      <c r="E122" s="8">
        <f t="shared" si="2"/>
        <v>0.23800000000000002</v>
      </c>
    </row>
    <row r="123" spans="4:5" x14ac:dyDescent="0.2">
      <c r="D123" s="4">
        <f t="shared" si="3"/>
        <v>120</v>
      </c>
      <c r="E123" s="8">
        <f t="shared" si="2"/>
        <v>0.24</v>
      </c>
    </row>
    <row r="124" spans="4:5" x14ac:dyDescent="0.2">
      <c r="D124" s="4">
        <f t="shared" si="3"/>
        <v>121</v>
      </c>
      <c r="E124" s="8">
        <f t="shared" si="2"/>
        <v>0.24199999999999999</v>
      </c>
    </row>
    <row r="125" spans="4:5" x14ac:dyDescent="0.2">
      <c r="D125" s="4">
        <f t="shared" si="3"/>
        <v>122</v>
      </c>
      <c r="E125" s="8">
        <f t="shared" si="2"/>
        <v>0.24399999999999999</v>
      </c>
    </row>
    <row r="126" spans="4:5" x14ac:dyDescent="0.2">
      <c r="D126" s="4">
        <f t="shared" si="3"/>
        <v>123</v>
      </c>
      <c r="E126" s="8">
        <f t="shared" si="2"/>
        <v>0.246</v>
      </c>
    </row>
    <row r="127" spans="4:5" x14ac:dyDescent="0.2">
      <c r="D127" s="4">
        <f t="shared" si="3"/>
        <v>124</v>
      </c>
      <c r="E127" s="8">
        <f t="shared" si="2"/>
        <v>0.248</v>
      </c>
    </row>
    <row r="128" spans="4:5" x14ac:dyDescent="0.2">
      <c r="D128" s="4">
        <f t="shared" si="3"/>
        <v>125</v>
      </c>
      <c r="E128" s="8">
        <f t="shared" si="2"/>
        <v>0.25</v>
      </c>
    </row>
    <row r="129" spans="4:5" x14ac:dyDescent="0.2">
      <c r="D129" s="4">
        <f t="shared" si="3"/>
        <v>126</v>
      </c>
      <c r="E129" s="8">
        <f t="shared" si="2"/>
        <v>0.252</v>
      </c>
    </row>
    <row r="130" spans="4:5" x14ac:dyDescent="0.2">
      <c r="D130" s="4">
        <f t="shared" si="3"/>
        <v>127</v>
      </c>
      <c r="E130" s="8">
        <f t="shared" si="2"/>
        <v>0.254</v>
      </c>
    </row>
    <row r="131" spans="4:5" x14ac:dyDescent="0.2">
      <c r="D131" s="4">
        <f t="shared" si="3"/>
        <v>128</v>
      </c>
      <c r="E131" s="8">
        <f t="shared" si="2"/>
        <v>0.25600000000000001</v>
      </c>
    </row>
    <row r="132" spans="4:5" x14ac:dyDescent="0.2">
      <c r="D132" s="4">
        <f t="shared" si="3"/>
        <v>129</v>
      </c>
      <c r="E132" s="8">
        <f t="shared" si="2"/>
        <v>0.25800000000000001</v>
      </c>
    </row>
    <row r="133" spans="4:5" x14ac:dyDescent="0.2">
      <c r="D133" s="4">
        <f t="shared" si="3"/>
        <v>130</v>
      </c>
      <c r="E133" s="8">
        <f t="shared" ref="E133:E196" si="4">+D133*$B$3</f>
        <v>0.26</v>
      </c>
    </row>
    <row r="134" spans="4:5" x14ac:dyDescent="0.2">
      <c r="D134" s="4">
        <f t="shared" ref="D134:D197" si="5">+D133+1</f>
        <v>131</v>
      </c>
      <c r="E134" s="8">
        <f t="shared" si="4"/>
        <v>0.26200000000000001</v>
      </c>
    </row>
    <row r="135" spans="4:5" x14ac:dyDescent="0.2">
      <c r="D135" s="4">
        <f t="shared" si="5"/>
        <v>132</v>
      </c>
      <c r="E135" s="8">
        <f t="shared" si="4"/>
        <v>0.26400000000000001</v>
      </c>
    </row>
    <row r="136" spans="4:5" x14ac:dyDescent="0.2">
      <c r="D136" s="4">
        <f t="shared" si="5"/>
        <v>133</v>
      </c>
      <c r="E136" s="8">
        <f t="shared" si="4"/>
        <v>0.26600000000000001</v>
      </c>
    </row>
    <row r="137" spans="4:5" x14ac:dyDescent="0.2">
      <c r="D137" s="4">
        <f t="shared" si="5"/>
        <v>134</v>
      </c>
      <c r="E137" s="8">
        <f t="shared" si="4"/>
        <v>0.26800000000000002</v>
      </c>
    </row>
    <row r="138" spans="4:5" x14ac:dyDescent="0.2">
      <c r="D138" s="4">
        <f t="shared" si="5"/>
        <v>135</v>
      </c>
      <c r="E138" s="8">
        <f t="shared" si="4"/>
        <v>0.27</v>
      </c>
    </row>
    <row r="139" spans="4:5" x14ac:dyDescent="0.2">
      <c r="D139" s="4">
        <f t="shared" si="5"/>
        <v>136</v>
      </c>
      <c r="E139" s="8">
        <f t="shared" si="4"/>
        <v>0.27200000000000002</v>
      </c>
    </row>
    <row r="140" spans="4:5" x14ac:dyDescent="0.2">
      <c r="D140" s="4">
        <f t="shared" si="5"/>
        <v>137</v>
      </c>
      <c r="E140" s="8">
        <f t="shared" si="4"/>
        <v>0.27400000000000002</v>
      </c>
    </row>
    <row r="141" spans="4:5" x14ac:dyDescent="0.2">
      <c r="D141" s="4">
        <f t="shared" si="5"/>
        <v>138</v>
      </c>
      <c r="E141" s="8">
        <f t="shared" si="4"/>
        <v>0.27600000000000002</v>
      </c>
    </row>
    <row r="142" spans="4:5" x14ac:dyDescent="0.2">
      <c r="D142" s="4">
        <f t="shared" si="5"/>
        <v>139</v>
      </c>
      <c r="E142" s="8">
        <f t="shared" si="4"/>
        <v>0.27800000000000002</v>
      </c>
    </row>
    <row r="143" spans="4:5" x14ac:dyDescent="0.2">
      <c r="D143" s="4">
        <f t="shared" si="5"/>
        <v>140</v>
      </c>
      <c r="E143" s="8">
        <f t="shared" si="4"/>
        <v>0.28000000000000003</v>
      </c>
    </row>
    <row r="144" spans="4:5" x14ac:dyDescent="0.2">
      <c r="D144" s="4">
        <f t="shared" si="5"/>
        <v>141</v>
      </c>
      <c r="E144" s="8">
        <f t="shared" si="4"/>
        <v>0.28200000000000003</v>
      </c>
    </row>
    <row r="145" spans="4:5" x14ac:dyDescent="0.2">
      <c r="D145" s="4">
        <f t="shared" si="5"/>
        <v>142</v>
      </c>
      <c r="E145" s="8">
        <f t="shared" si="4"/>
        <v>0.28400000000000003</v>
      </c>
    </row>
    <row r="146" spans="4:5" x14ac:dyDescent="0.2">
      <c r="D146" s="4">
        <f t="shared" si="5"/>
        <v>143</v>
      </c>
      <c r="E146" s="8">
        <f t="shared" si="4"/>
        <v>0.28600000000000003</v>
      </c>
    </row>
    <row r="147" spans="4:5" x14ac:dyDescent="0.2">
      <c r="D147" s="4">
        <f t="shared" si="5"/>
        <v>144</v>
      </c>
      <c r="E147" s="8">
        <f t="shared" si="4"/>
        <v>0.28800000000000003</v>
      </c>
    </row>
    <row r="148" spans="4:5" x14ac:dyDescent="0.2">
      <c r="D148" s="4">
        <f t="shared" si="5"/>
        <v>145</v>
      </c>
      <c r="E148" s="8">
        <f t="shared" si="4"/>
        <v>0.28999999999999998</v>
      </c>
    </row>
    <row r="149" spans="4:5" x14ac:dyDescent="0.2">
      <c r="D149" s="4">
        <f t="shared" si="5"/>
        <v>146</v>
      </c>
      <c r="E149" s="8">
        <f t="shared" si="4"/>
        <v>0.29199999999999998</v>
      </c>
    </row>
    <row r="150" spans="4:5" x14ac:dyDescent="0.2">
      <c r="D150" s="4">
        <f t="shared" si="5"/>
        <v>147</v>
      </c>
      <c r="E150" s="8">
        <f t="shared" si="4"/>
        <v>0.29399999999999998</v>
      </c>
    </row>
    <row r="151" spans="4:5" x14ac:dyDescent="0.2">
      <c r="D151" s="4">
        <f t="shared" si="5"/>
        <v>148</v>
      </c>
      <c r="E151" s="8">
        <f t="shared" si="4"/>
        <v>0.29599999999999999</v>
      </c>
    </row>
    <row r="152" spans="4:5" x14ac:dyDescent="0.2">
      <c r="D152" s="4">
        <f t="shared" si="5"/>
        <v>149</v>
      </c>
      <c r="E152" s="8">
        <f t="shared" si="4"/>
        <v>0.29799999999999999</v>
      </c>
    </row>
    <row r="153" spans="4:5" x14ac:dyDescent="0.2">
      <c r="D153" s="4">
        <f t="shared" si="5"/>
        <v>150</v>
      </c>
      <c r="E153" s="8">
        <f t="shared" si="4"/>
        <v>0.3</v>
      </c>
    </row>
    <row r="154" spans="4:5" x14ac:dyDescent="0.2">
      <c r="D154" s="4">
        <f t="shared" si="5"/>
        <v>151</v>
      </c>
      <c r="E154" s="8">
        <f t="shared" si="4"/>
        <v>0.30199999999999999</v>
      </c>
    </row>
    <row r="155" spans="4:5" x14ac:dyDescent="0.2">
      <c r="D155" s="4">
        <f t="shared" si="5"/>
        <v>152</v>
      </c>
      <c r="E155" s="8">
        <f t="shared" si="4"/>
        <v>0.30399999999999999</v>
      </c>
    </row>
    <row r="156" spans="4:5" x14ac:dyDescent="0.2">
      <c r="D156" s="4">
        <f t="shared" si="5"/>
        <v>153</v>
      </c>
      <c r="E156" s="8">
        <f t="shared" si="4"/>
        <v>0.30599999999999999</v>
      </c>
    </row>
    <row r="157" spans="4:5" x14ac:dyDescent="0.2">
      <c r="D157" s="4">
        <f t="shared" si="5"/>
        <v>154</v>
      </c>
      <c r="E157" s="8">
        <f t="shared" si="4"/>
        <v>0.308</v>
      </c>
    </row>
    <row r="158" spans="4:5" x14ac:dyDescent="0.2">
      <c r="D158" s="4">
        <f t="shared" si="5"/>
        <v>155</v>
      </c>
      <c r="E158" s="8">
        <f t="shared" si="4"/>
        <v>0.31</v>
      </c>
    </row>
    <row r="159" spans="4:5" x14ac:dyDescent="0.2">
      <c r="D159" s="4">
        <f t="shared" si="5"/>
        <v>156</v>
      </c>
      <c r="E159" s="8">
        <f t="shared" si="4"/>
        <v>0.312</v>
      </c>
    </row>
    <row r="160" spans="4:5" x14ac:dyDescent="0.2">
      <c r="D160" s="4">
        <f t="shared" si="5"/>
        <v>157</v>
      </c>
      <c r="E160" s="8">
        <f t="shared" si="4"/>
        <v>0.314</v>
      </c>
    </row>
    <row r="161" spans="4:5" x14ac:dyDescent="0.2">
      <c r="D161" s="4">
        <f t="shared" si="5"/>
        <v>158</v>
      </c>
      <c r="E161" s="8">
        <f t="shared" si="4"/>
        <v>0.316</v>
      </c>
    </row>
    <row r="162" spans="4:5" x14ac:dyDescent="0.2">
      <c r="D162" s="4">
        <f t="shared" si="5"/>
        <v>159</v>
      </c>
      <c r="E162" s="8">
        <f t="shared" si="4"/>
        <v>0.318</v>
      </c>
    </row>
    <row r="163" spans="4:5" x14ac:dyDescent="0.2">
      <c r="D163" s="4">
        <f t="shared" si="5"/>
        <v>160</v>
      </c>
      <c r="E163" s="8">
        <f t="shared" si="4"/>
        <v>0.32</v>
      </c>
    </row>
    <row r="164" spans="4:5" x14ac:dyDescent="0.2">
      <c r="D164" s="4">
        <f t="shared" si="5"/>
        <v>161</v>
      </c>
      <c r="E164" s="8">
        <f t="shared" si="4"/>
        <v>0.32200000000000001</v>
      </c>
    </row>
    <row r="165" spans="4:5" x14ac:dyDescent="0.2">
      <c r="D165" s="4">
        <f t="shared" si="5"/>
        <v>162</v>
      </c>
      <c r="E165" s="8">
        <f t="shared" si="4"/>
        <v>0.32400000000000001</v>
      </c>
    </row>
    <row r="166" spans="4:5" x14ac:dyDescent="0.2">
      <c r="D166" s="4">
        <f t="shared" si="5"/>
        <v>163</v>
      </c>
      <c r="E166" s="8">
        <f t="shared" si="4"/>
        <v>0.32600000000000001</v>
      </c>
    </row>
    <row r="167" spans="4:5" x14ac:dyDescent="0.2">
      <c r="D167" s="4">
        <f t="shared" si="5"/>
        <v>164</v>
      </c>
      <c r="E167" s="8">
        <f t="shared" si="4"/>
        <v>0.32800000000000001</v>
      </c>
    </row>
    <row r="168" spans="4:5" x14ac:dyDescent="0.2">
      <c r="D168" s="4">
        <f t="shared" si="5"/>
        <v>165</v>
      </c>
      <c r="E168" s="8">
        <f t="shared" si="4"/>
        <v>0.33</v>
      </c>
    </row>
    <row r="169" spans="4:5" x14ac:dyDescent="0.2">
      <c r="D169" s="4">
        <f t="shared" si="5"/>
        <v>166</v>
      </c>
      <c r="E169" s="8">
        <f t="shared" si="4"/>
        <v>0.33200000000000002</v>
      </c>
    </row>
    <row r="170" spans="4:5" x14ac:dyDescent="0.2">
      <c r="D170" s="4">
        <f t="shared" si="5"/>
        <v>167</v>
      </c>
      <c r="E170" s="8">
        <f t="shared" si="4"/>
        <v>0.33400000000000002</v>
      </c>
    </row>
    <row r="171" spans="4:5" x14ac:dyDescent="0.2">
      <c r="D171" s="4">
        <f t="shared" si="5"/>
        <v>168</v>
      </c>
      <c r="E171" s="8">
        <f t="shared" si="4"/>
        <v>0.33600000000000002</v>
      </c>
    </row>
    <row r="172" spans="4:5" x14ac:dyDescent="0.2">
      <c r="D172" s="4">
        <f t="shared" si="5"/>
        <v>169</v>
      </c>
      <c r="E172" s="8">
        <f t="shared" si="4"/>
        <v>0.33800000000000002</v>
      </c>
    </row>
    <row r="173" spans="4:5" x14ac:dyDescent="0.2">
      <c r="D173" s="4">
        <f t="shared" si="5"/>
        <v>170</v>
      </c>
      <c r="E173" s="8">
        <f t="shared" si="4"/>
        <v>0.34</v>
      </c>
    </row>
    <row r="174" spans="4:5" x14ac:dyDescent="0.2">
      <c r="D174" s="4">
        <f t="shared" si="5"/>
        <v>171</v>
      </c>
      <c r="E174" s="8">
        <f t="shared" si="4"/>
        <v>0.34200000000000003</v>
      </c>
    </row>
    <row r="175" spans="4:5" x14ac:dyDescent="0.2">
      <c r="D175" s="4">
        <f t="shared" si="5"/>
        <v>172</v>
      </c>
      <c r="E175" s="8">
        <f t="shared" si="4"/>
        <v>0.34400000000000003</v>
      </c>
    </row>
    <row r="176" spans="4:5" x14ac:dyDescent="0.2">
      <c r="D176" s="4">
        <f t="shared" si="5"/>
        <v>173</v>
      </c>
      <c r="E176" s="8">
        <f t="shared" si="4"/>
        <v>0.34600000000000003</v>
      </c>
    </row>
    <row r="177" spans="4:5" x14ac:dyDescent="0.2">
      <c r="D177" s="4">
        <f t="shared" si="5"/>
        <v>174</v>
      </c>
      <c r="E177" s="8">
        <f t="shared" si="4"/>
        <v>0.34800000000000003</v>
      </c>
    </row>
    <row r="178" spans="4:5" x14ac:dyDescent="0.2">
      <c r="D178" s="4">
        <f t="shared" si="5"/>
        <v>175</v>
      </c>
      <c r="E178" s="8">
        <f t="shared" si="4"/>
        <v>0.35000000000000003</v>
      </c>
    </row>
    <row r="179" spans="4:5" x14ac:dyDescent="0.2">
      <c r="D179" s="4">
        <f t="shared" si="5"/>
        <v>176</v>
      </c>
      <c r="E179" s="8">
        <f t="shared" si="4"/>
        <v>0.35199999999999998</v>
      </c>
    </row>
    <row r="180" spans="4:5" x14ac:dyDescent="0.2">
      <c r="D180" s="4">
        <f t="shared" si="5"/>
        <v>177</v>
      </c>
      <c r="E180" s="8">
        <f t="shared" si="4"/>
        <v>0.35399999999999998</v>
      </c>
    </row>
    <row r="181" spans="4:5" x14ac:dyDescent="0.2">
      <c r="D181" s="4">
        <f t="shared" si="5"/>
        <v>178</v>
      </c>
      <c r="E181" s="8">
        <f t="shared" si="4"/>
        <v>0.35599999999999998</v>
      </c>
    </row>
    <row r="182" spans="4:5" x14ac:dyDescent="0.2">
      <c r="D182" s="4">
        <f t="shared" si="5"/>
        <v>179</v>
      </c>
      <c r="E182" s="8">
        <f t="shared" si="4"/>
        <v>0.35799999999999998</v>
      </c>
    </row>
    <row r="183" spans="4:5" x14ac:dyDescent="0.2">
      <c r="D183" s="4">
        <f t="shared" si="5"/>
        <v>180</v>
      </c>
      <c r="E183" s="8">
        <f t="shared" si="4"/>
        <v>0.36</v>
      </c>
    </row>
    <row r="184" spans="4:5" x14ac:dyDescent="0.2">
      <c r="D184" s="4">
        <f t="shared" si="5"/>
        <v>181</v>
      </c>
      <c r="E184" s="8">
        <f t="shared" si="4"/>
        <v>0.36199999999999999</v>
      </c>
    </row>
    <row r="185" spans="4:5" x14ac:dyDescent="0.2">
      <c r="D185" s="4">
        <f t="shared" si="5"/>
        <v>182</v>
      </c>
      <c r="E185" s="8">
        <f t="shared" si="4"/>
        <v>0.36399999999999999</v>
      </c>
    </row>
    <row r="186" spans="4:5" x14ac:dyDescent="0.2">
      <c r="D186" s="4">
        <f t="shared" si="5"/>
        <v>183</v>
      </c>
      <c r="E186" s="8">
        <f t="shared" si="4"/>
        <v>0.36599999999999999</v>
      </c>
    </row>
    <row r="187" spans="4:5" x14ac:dyDescent="0.2">
      <c r="D187" s="4">
        <f t="shared" si="5"/>
        <v>184</v>
      </c>
      <c r="E187" s="8">
        <f t="shared" si="4"/>
        <v>0.36799999999999999</v>
      </c>
    </row>
    <row r="188" spans="4:5" x14ac:dyDescent="0.2">
      <c r="D188" s="4">
        <f t="shared" si="5"/>
        <v>185</v>
      </c>
      <c r="E188" s="8">
        <f t="shared" si="4"/>
        <v>0.37</v>
      </c>
    </row>
    <row r="189" spans="4:5" x14ac:dyDescent="0.2">
      <c r="D189" s="4">
        <f t="shared" si="5"/>
        <v>186</v>
      </c>
      <c r="E189" s="8">
        <f t="shared" si="4"/>
        <v>0.372</v>
      </c>
    </row>
    <row r="190" spans="4:5" x14ac:dyDescent="0.2">
      <c r="D190" s="4">
        <f t="shared" si="5"/>
        <v>187</v>
      </c>
      <c r="E190" s="8">
        <f t="shared" si="4"/>
        <v>0.374</v>
      </c>
    </row>
    <row r="191" spans="4:5" x14ac:dyDescent="0.2">
      <c r="D191" s="4">
        <f t="shared" si="5"/>
        <v>188</v>
      </c>
      <c r="E191" s="8">
        <f t="shared" si="4"/>
        <v>0.376</v>
      </c>
    </row>
    <row r="192" spans="4:5" x14ac:dyDescent="0.2">
      <c r="D192" s="4">
        <f t="shared" si="5"/>
        <v>189</v>
      </c>
      <c r="E192" s="8">
        <f t="shared" si="4"/>
        <v>0.378</v>
      </c>
    </row>
    <row r="193" spans="4:5" x14ac:dyDescent="0.2">
      <c r="D193" s="4">
        <f t="shared" si="5"/>
        <v>190</v>
      </c>
      <c r="E193" s="8">
        <f t="shared" si="4"/>
        <v>0.38</v>
      </c>
    </row>
    <row r="194" spans="4:5" x14ac:dyDescent="0.2">
      <c r="D194" s="4">
        <f t="shared" si="5"/>
        <v>191</v>
      </c>
      <c r="E194" s="8">
        <f t="shared" si="4"/>
        <v>0.38200000000000001</v>
      </c>
    </row>
    <row r="195" spans="4:5" x14ac:dyDescent="0.2">
      <c r="D195" s="4">
        <f t="shared" si="5"/>
        <v>192</v>
      </c>
      <c r="E195" s="8">
        <f t="shared" si="4"/>
        <v>0.38400000000000001</v>
      </c>
    </row>
    <row r="196" spans="4:5" x14ac:dyDescent="0.2">
      <c r="D196" s="4">
        <f t="shared" si="5"/>
        <v>193</v>
      </c>
      <c r="E196" s="8">
        <f t="shared" si="4"/>
        <v>0.38600000000000001</v>
      </c>
    </row>
    <row r="197" spans="4:5" x14ac:dyDescent="0.2">
      <c r="D197" s="4">
        <f t="shared" si="5"/>
        <v>194</v>
      </c>
      <c r="E197" s="8">
        <f t="shared" ref="E197:E260" si="6">+D197*$B$3</f>
        <v>0.38800000000000001</v>
      </c>
    </row>
    <row r="198" spans="4:5" x14ac:dyDescent="0.2">
      <c r="D198" s="4">
        <f t="shared" ref="D198:D261" si="7">+D197+1</f>
        <v>195</v>
      </c>
      <c r="E198" s="8">
        <f t="shared" si="6"/>
        <v>0.39</v>
      </c>
    </row>
    <row r="199" spans="4:5" x14ac:dyDescent="0.2">
      <c r="D199" s="4">
        <f t="shared" si="7"/>
        <v>196</v>
      </c>
      <c r="E199" s="8">
        <f t="shared" si="6"/>
        <v>0.39200000000000002</v>
      </c>
    </row>
    <row r="200" spans="4:5" x14ac:dyDescent="0.2">
      <c r="D200" s="4">
        <f t="shared" si="7"/>
        <v>197</v>
      </c>
      <c r="E200" s="8">
        <f t="shared" si="6"/>
        <v>0.39400000000000002</v>
      </c>
    </row>
    <row r="201" spans="4:5" x14ac:dyDescent="0.2">
      <c r="D201" s="4">
        <f t="shared" si="7"/>
        <v>198</v>
      </c>
      <c r="E201" s="8">
        <f t="shared" si="6"/>
        <v>0.39600000000000002</v>
      </c>
    </row>
    <row r="202" spans="4:5" x14ac:dyDescent="0.2">
      <c r="D202" s="4">
        <f t="shared" si="7"/>
        <v>199</v>
      </c>
      <c r="E202" s="8">
        <f t="shared" si="6"/>
        <v>0.39800000000000002</v>
      </c>
    </row>
    <row r="203" spans="4:5" x14ac:dyDescent="0.2">
      <c r="D203" s="4">
        <f t="shared" si="7"/>
        <v>200</v>
      </c>
      <c r="E203" s="8">
        <f t="shared" si="6"/>
        <v>0.4</v>
      </c>
    </row>
    <row r="204" spans="4:5" x14ac:dyDescent="0.2">
      <c r="D204" s="4">
        <f t="shared" si="7"/>
        <v>201</v>
      </c>
      <c r="E204" s="8">
        <f t="shared" si="6"/>
        <v>0.40200000000000002</v>
      </c>
    </row>
    <row r="205" spans="4:5" x14ac:dyDescent="0.2">
      <c r="D205" s="4">
        <f t="shared" si="7"/>
        <v>202</v>
      </c>
      <c r="E205" s="8">
        <f t="shared" si="6"/>
        <v>0.40400000000000003</v>
      </c>
    </row>
    <row r="206" spans="4:5" x14ac:dyDescent="0.2">
      <c r="D206" s="4">
        <f t="shared" si="7"/>
        <v>203</v>
      </c>
      <c r="E206" s="8">
        <f t="shared" si="6"/>
        <v>0.40600000000000003</v>
      </c>
    </row>
    <row r="207" spans="4:5" x14ac:dyDescent="0.2">
      <c r="D207" s="4">
        <f t="shared" si="7"/>
        <v>204</v>
      </c>
      <c r="E207" s="8">
        <f t="shared" si="6"/>
        <v>0.40800000000000003</v>
      </c>
    </row>
    <row r="208" spans="4:5" x14ac:dyDescent="0.2">
      <c r="D208" s="4">
        <f t="shared" si="7"/>
        <v>205</v>
      </c>
      <c r="E208" s="8">
        <f t="shared" si="6"/>
        <v>0.41000000000000003</v>
      </c>
    </row>
    <row r="209" spans="4:5" x14ac:dyDescent="0.2">
      <c r="D209" s="4">
        <f t="shared" si="7"/>
        <v>206</v>
      </c>
      <c r="E209" s="8">
        <f t="shared" si="6"/>
        <v>0.41200000000000003</v>
      </c>
    </row>
    <row r="210" spans="4:5" x14ac:dyDescent="0.2">
      <c r="D210" s="4">
        <f t="shared" si="7"/>
        <v>207</v>
      </c>
      <c r="E210" s="8">
        <f t="shared" si="6"/>
        <v>0.41400000000000003</v>
      </c>
    </row>
    <row r="211" spans="4:5" x14ac:dyDescent="0.2">
      <c r="D211" s="4">
        <f t="shared" si="7"/>
        <v>208</v>
      </c>
      <c r="E211" s="8">
        <f t="shared" si="6"/>
        <v>0.41600000000000004</v>
      </c>
    </row>
    <row r="212" spans="4:5" x14ac:dyDescent="0.2">
      <c r="D212" s="4">
        <f t="shared" si="7"/>
        <v>209</v>
      </c>
      <c r="E212" s="8">
        <f t="shared" si="6"/>
        <v>0.41799999999999998</v>
      </c>
    </row>
    <row r="213" spans="4:5" x14ac:dyDescent="0.2">
      <c r="D213" s="4">
        <f t="shared" si="7"/>
        <v>210</v>
      </c>
      <c r="E213" s="8">
        <f t="shared" si="6"/>
        <v>0.42</v>
      </c>
    </row>
    <row r="214" spans="4:5" x14ac:dyDescent="0.2">
      <c r="D214" s="4">
        <f t="shared" si="7"/>
        <v>211</v>
      </c>
      <c r="E214" s="8">
        <f t="shared" si="6"/>
        <v>0.42199999999999999</v>
      </c>
    </row>
    <row r="215" spans="4:5" x14ac:dyDescent="0.2">
      <c r="D215" s="4">
        <f t="shared" si="7"/>
        <v>212</v>
      </c>
      <c r="E215" s="8">
        <f t="shared" si="6"/>
        <v>0.42399999999999999</v>
      </c>
    </row>
    <row r="216" spans="4:5" x14ac:dyDescent="0.2">
      <c r="D216" s="4">
        <f t="shared" si="7"/>
        <v>213</v>
      </c>
      <c r="E216" s="8">
        <f t="shared" si="6"/>
        <v>0.42599999999999999</v>
      </c>
    </row>
    <row r="217" spans="4:5" x14ac:dyDescent="0.2">
      <c r="D217" s="4">
        <f t="shared" si="7"/>
        <v>214</v>
      </c>
      <c r="E217" s="8">
        <f t="shared" si="6"/>
        <v>0.42799999999999999</v>
      </c>
    </row>
    <row r="218" spans="4:5" x14ac:dyDescent="0.2">
      <c r="D218" s="4">
        <f t="shared" si="7"/>
        <v>215</v>
      </c>
      <c r="E218" s="8">
        <f t="shared" si="6"/>
        <v>0.43</v>
      </c>
    </row>
    <row r="219" spans="4:5" x14ac:dyDescent="0.2">
      <c r="D219" s="4">
        <f t="shared" si="7"/>
        <v>216</v>
      </c>
      <c r="E219" s="8">
        <f t="shared" si="6"/>
        <v>0.432</v>
      </c>
    </row>
    <row r="220" spans="4:5" x14ac:dyDescent="0.2">
      <c r="D220" s="4">
        <f t="shared" si="7"/>
        <v>217</v>
      </c>
      <c r="E220" s="8">
        <f t="shared" si="6"/>
        <v>0.434</v>
      </c>
    </row>
    <row r="221" spans="4:5" x14ac:dyDescent="0.2">
      <c r="D221" s="4">
        <f t="shared" si="7"/>
        <v>218</v>
      </c>
      <c r="E221" s="8">
        <f t="shared" si="6"/>
        <v>0.436</v>
      </c>
    </row>
    <row r="222" spans="4:5" x14ac:dyDescent="0.2">
      <c r="D222" s="4">
        <f t="shared" si="7"/>
        <v>219</v>
      </c>
      <c r="E222" s="8">
        <f t="shared" si="6"/>
        <v>0.438</v>
      </c>
    </row>
    <row r="223" spans="4:5" x14ac:dyDescent="0.2">
      <c r="D223" s="4">
        <f t="shared" si="7"/>
        <v>220</v>
      </c>
      <c r="E223" s="8">
        <f t="shared" si="6"/>
        <v>0.44</v>
      </c>
    </row>
    <row r="224" spans="4:5" x14ac:dyDescent="0.2">
      <c r="D224" s="4">
        <f t="shared" si="7"/>
        <v>221</v>
      </c>
      <c r="E224" s="8">
        <f t="shared" si="6"/>
        <v>0.442</v>
      </c>
    </row>
    <row r="225" spans="4:5" x14ac:dyDescent="0.2">
      <c r="D225" s="4">
        <f t="shared" si="7"/>
        <v>222</v>
      </c>
      <c r="E225" s="8">
        <f t="shared" si="6"/>
        <v>0.44400000000000001</v>
      </c>
    </row>
    <row r="226" spans="4:5" x14ac:dyDescent="0.2">
      <c r="D226" s="4">
        <f t="shared" si="7"/>
        <v>223</v>
      </c>
      <c r="E226" s="8">
        <f t="shared" si="6"/>
        <v>0.44600000000000001</v>
      </c>
    </row>
    <row r="227" spans="4:5" x14ac:dyDescent="0.2">
      <c r="D227" s="4">
        <f t="shared" si="7"/>
        <v>224</v>
      </c>
      <c r="E227" s="8">
        <f t="shared" si="6"/>
        <v>0.44800000000000001</v>
      </c>
    </row>
    <row r="228" spans="4:5" x14ac:dyDescent="0.2">
      <c r="D228" s="4">
        <f t="shared" si="7"/>
        <v>225</v>
      </c>
      <c r="E228" s="8">
        <f t="shared" si="6"/>
        <v>0.45</v>
      </c>
    </row>
    <row r="229" spans="4:5" x14ac:dyDescent="0.2">
      <c r="D229" s="4">
        <f t="shared" si="7"/>
        <v>226</v>
      </c>
      <c r="E229" s="8">
        <f t="shared" si="6"/>
        <v>0.45200000000000001</v>
      </c>
    </row>
    <row r="230" spans="4:5" x14ac:dyDescent="0.2">
      <c r="D230" s="4">
        <f t="shared" si="7"/>
        <v>227</v>
      </c>
      <c r="E230" s="8">
        <f t="shared" si="6"/>
        <v>0.45400000000000001</v>
      </c>
    </row>
    <row r="231" spans="4:5" x14ac:dyDescent="0.2">
      <c r="D231" s="4">
        <f t="shared" si="7"/>
        <v>228</v>
      </c>
      <c r="E231" s="8">
        <f t="shared" si="6"/>
        <v>0.45600000000000002</v>
      </c>
    </row>
    <row r="232" spans="4:5" x14ac:dyDescent="0.2">
      <c r="D232" s="4">
        <f t="shared" si="7"/>
        <v>229</v>
      </c>
      <c r="E232" s="8">
        <f t="shared" si="6"/>
        <v>0.45800000000000002</v>
      </c>
    </row>
    <row r="233" spans="4:5" x14ac:dyDescent="0.2">
      <c r="D233" s="4">
        <f t="shared" si="7"/>
        <v>230</v>
      </c>
      <c r="E233" s="8">
        <f t="shared" si="6"/>
        <v>0.46</v>
      </c>
    </row>
    <row r="234" spans="4:5" x14ac:dyDescent="0.2">
      <c r="D234" s="4">
        <f t="shared" si="7"/>
        <v>231</v>
      </c>
      <c r="E234" s="8">
        <f t="shared" si="6"/>
        <v>0.46200000000000002</v>
      </c>
    </row>
    <row r="235" spans="4:5" x14ac:dyDescent="0.2">
      <c r="D235" s="4">
        <f t="shared" si="7"/>
        <v>232</v>
      </c>
      <c r="E235" s="8">
        <f t="shared" si="6"/>
        <v>0.46400000000000002</v>
      </c>
    </row>
    <row r="236" spans="4:5" x14ac:dyDescent="0.2">
      <c r="D236" s="4">
        <f t="shared" si="7"/>
        <v>233</v>
      </c>
      <c r="E236" s="8">
        <f t="shared" si="6"/>
        <v>0.46600000000000003</v>
      </c>
    </row>
    <row r="237" spans="4:5" x14ac:dyDescent="0.2">
      <c r="D237" s="4">
        <f t="shared" si="7"/>
        <v>234</v>
      </c>
      <c r="E237" s="8">
        <f t="shared" si="6"/>
        <v>0.46800000000000003</v>
      </c>
    </row>
    <row r="238" spans="4:5" x14ac:dyDescent="0.2">
      <c r="D238" s="4">
        <f t="shared" si="7"/>
        <v>235</v>
      </c>
      <c r="E238" s="8">
        <f t="shared" si="6"/>
        <v>0.47000000000000003</v>
      </c>
    </row>
    <row r="239" spans="4:5" x14ac:dyDescent="0.2">
      <c r="D239" s="4">
        <f t="shared" si="7"/>
        <v>236</v>
      </c>
      <c r="E239" s="8">
        <f t="shared" si="6"/>
        <v>0.47200000000000003</v>
      </c>
    </row>
    <row r="240" spans="4:5" x14ac:dyDescent="0.2">
      <c r="D240" s="4">
        <f t="shared" si="7"/>
        <v>237</v>
      </c>
      <c r="E240" s="8">
        <f t="shared" si="6"/>
        <v>0.47400000000000003</v>
      </c>
    </row>
    <row r="241" spans="4:5" x14ac:dyDescent="0.2">
      <c r="D241" s="4">
        <f t="shared" si="7"/>
        <v>238</v>
      </c>
      <c r="E241" s="8">
        <f t="shared" si="6"/>
        <v>0.47600000000000003</v>
      </c>
    </row>
    <row r="242" spans="4:5" x14ac:dyDescent="0.2">
      <c r="D242" s="4">
        <f t="shared" si="7"/>
        <v>239</v>
      </c>
      <c r="E242" s="8">
        <f t="shared" si="6"/>
        <v>0.47800000000000004</v>
      </c>
    </row>
    <row r="243" spans="4:5" x14ac:dyDescent="0.2">
      <c r="D243" s="4">
        <f t="shared" si="7"/>
        <v>240</v>
      </c>
      <c r="E243" s="8">
        <f t="shared" si="6"/>
        <v>0.48</v>
      </c>
    </row>
    <row r="244" spans="4:5" x14ac:dyDescent="0.2">
      <c r="D244" s="4">
        <f t="shared" si="7"/>
        <v>241</v>
      </c>
      <c r="E244" s="8">
        <f t="shared" si="6"/>
        <v>0.48199999999999998</v>
      </c>
    </row>
    <row r="245" spans="4:5" x14ac:dyDescent="0.2">
      <c r="D245" s="4">
        <f t="shared" si="7"/>
        <v>242</v>
      </c>
      <c r="E245" s="8">
        <f t="shared" si="6"/>
        <v>0.48399999999999999</v>
      </c>
    </row>
    <row r="246" spans="4:5" x14ac:dyDescent="0.2">
      <c r="D246" s="4">
        <f t="shared" si="7"/>
        <v>243</v>
      </c>
      <c r="E246" s="8">
        <f t="shared" si="6"/>
        <v>0.48599999999999999</v>
      </c>
    </row>
    <row r="247" spans="4:5" x14ac:dyDescent="0.2">
      <c r="D247" s="4">
        <f t="shared" si="7"/>
        <v>244</v>
      </c>
      <c r="E247" s="8">
        <f t="shared" si="6"/>
        <v>0.48799999999999999</v>
      </c>
    </row>
    <row r="248" spans="4:5" x14ac:dyDescent="0.2">
      <c r="D248" s="4">
        <f t="shared" si="7"/>
        <v>245</v>
      </c>
      <c r="E248" s="8">
        <f t="shared" si="6"/>
        <v>0.49</v>
      </c>
    </row>
    <row r="249" spans="4:5" x14ac:dyDescent="0.2">
      <c r="D249" s="4">
        <f t="shared" si="7"/>
        <v>246</v>
      </c>
      <c r="E249" s="8">
        <f t="shared" si="6"/>
        <v>0.49199999999999999</v>
      </c>
    </row>
    <row r="250" spans="4:5" x14ac:dyDescent="0.2">
      <c r="D250" s="4">
        <f t="shared" si="7"/>
        <v>247</v>
      </c>
      <c r="E250" s="8">
        <f t="shared" si="6"/>
        <v>0.49399999999999999</v>
      </c>
    </row>
    <row r="251" spans="4:5" x14ac:dyDescent="0.2">
      <c r="D251" s="4">
        <f t="shared" si="7"/>
        <v>248</v>
      </c>
      <c r="E251" s="8">
        <f t="shared" si="6"/>
        <v>0.496</v>
      </c>
    </row>
    <row r="252" spans="4:5" x14ac:dyDescent="0.2">
      <c r="D252" s="4">
        <f t="shared" si="7"/>
        <v>249</v>
      </c>
      <c r="E252" s="8">
        <f t="shared" si="6"/>
        <v>0.498</v>
      </c>
    </row>
    <row r="253" spans="4:5" x14ac:dyDescent="0.2">
      <c r="D253" s="4">
        <f t="shared" si="7"/>
        <v>250</v>
      </c>
      <c r="E253" s="8">
        <f t="shared" si="6"/>
        <v>0.5</v>
      </c>
    </row>
    <row r="254" spans="4:5" x14ac:dyDescent="0.2">
      <c r="D254" s="4">
        <f t="shared" si="7"/>
        <v>251</v>
      </c>
      <c r="E254" s="8">
        <f t="shared" si="6"/>
        <v>0.502</v>
      </c>
    </row>
    <row r="255" spans="4:5" x14ac:dyDescent="0.2">
      <c r="D255" s="4">
        <f t="shared" si="7"/>
        <v>252</v>
      </c>
      <c r="E255" s="8">
        <f t="shared" si="6"/>
        <v>0.504</v>
      </c>
    </row>
    <row r="256" spans="4:5" x14ac:dyDescent="0.2">
      <c r="D256" s="4">
        <f t="shared" si="7"/>
        <v>253</v>
      </c>
      <c r="E256" s="8">
        <f t="shared" si="6"/>
        <v>0.50600000000000001</v>
      </c>
    </row>
    <row r="257" spans="4:5" x14ac:dyDescent="0.2">
      <c r="D257" s="4">
        <f t="shared" si="7"/>
        <v>254</v>
      </c>
      <c r="E257" s="8">
        <f t="shared" si="6"/>
        <v>0.50800000000000001</v>
      </c>
    </row>
    <row r="258" spans="4:5" x14ac:dyDescent="0.2">
      <c r="D258" s="4">
        <f t="shared" si="7"/>
        <v>255</v>
      </c>
      <c r="E258" s="8">
        <f t="shared" si="6"/>
        <v>0.51</v>
      </c>
    </row>
    <row r="259" spans="4:5" x14ac:dyDescent="0.2">
      <c r="D259" s="4">
        <f t="shared" si="7"/>
        <v>256</v>
      </c>
      <c r="E259" s="8">
        <f t="shared" si="6"/>
        <v>0.51200000000000001</v>
      </c>
    </row>
    <row r="260" spans="4:5" x14ac:dyDescent="0.2">
      <c r="D260" s="4">
        <f t="shared" si="7"/>
        <v>257</v>
      </c>
      <c r="E260" s="8">
        <f t="shared" si="6"/>
        <v>0.51400000000000001</v>
      </c>
    </row>
    <row r="261" spans="4:5" x14ac:dyDescent="0.2">
      <c r="D261" s="4">
        <f t="shared" si="7"/>
        <v>258</v>
      </c>
      <c r="E261" s="8">
        <f t="shared" ref="E261:E303" si="8">+D261*$B$3</f>
        <v>0.51600000000000001</v>
      </c>
    </row>
    <row r="262" spans="4:5" x14ac:dyDescent="0.2">
      <c r="D262" s="4">
        <f t="shared" ref="D262:D303" si="9">+D261+1</f>
        <v>259</v>
      </c>
      <c r="E262" s="8">
        <f t="shared" si="8"/>
        <v>0.51800000000000002</v>
      </c>
    </row>
    <row r="263" spans="4:5" x14ac:dyDescent="0.2">
      <c r="D263" s="4">
        <f t="shared" si="9"/>
        <v>260</v>
      </c>
      <c r="E263" s="8">
        <f t="shared" si="8"/>
        <v>0.52</v>
      </c>
    </row>
    <row r="264" spans="4:5" x14ac:dyDescent="0.2">
      <c r="D264" s="4">
        <f t="shared" si="9"/>
        <v>261</v>
      </c>
      <c r="E264" s="8">
        <f t="shared" si="8"/>
        <v>0.52200000000000002</v>
      </c>
    </row>
    <row r="265" spans="4:5" x14ac:dyDescent="0.2">
      <c r="D265" s="4">
        <f t="shared" si="9"/>
        <v>262</v>
      </c>
      <c r="E265" s="8">
        <f t="shared" si="8"/>
        <v>0.52400000000000002</v>
      </c>
    </row>
    <row r="266" spans="4:5" x14ac:dyDescent="0.2">
      <c r="D266" s="4">
        <f t="shared" si="9"/>
        <v>263</v>
      </c>
      <c r="E266" s="8">
        <f t="shared" si="8"/>
        <v>0.52600000000000002</v>
      </c>
    </row>
    <row r="267" spans="4:5" x14ac:dyDescent="0.2">
      <c r="D267" s="4">
        <f t="shared" si="9"/>
        <v>264</v>
      </c>
      <c r="E267" s="8">
        <f t="shared" si="8"/>
        <v>0.52800000000000002</v>
      </c>
    </row>
    <row r="268" spans="4:5" x14ac:dyDescent="0.2">
      <c r="D268" s="4">
        <f t="shared" si="9"/>
        <v>265</v>
      </c>
      <c r="E268" s="8">
        <f t="shared" si="8"/>
        <v>0.53</v>
      </c>
    </row>
    <row r="269" spans="4:5" x14ac:dyDescent="0.2">
      <c r="D269" s="4">
        <f t="shared" si="9"/>
        <v>266</v>
      </c>
      <c r="E269" s="8">
        <f t="shared" si="8"/>
        <v>0.53200000000000003</v>
      </c>
    </row>
    <row r="270" spans="4:5" x14ac:dyDescent="0.2">
      <c r="D270" s="4">
        <f t="shared" si="9"/>
        <v>267</v>
      </c>
      <c r="E270" s="8">
        <f t="shared" si="8"/>
        <v>0.53400000000000003</v>
      </c>
    </row>
    <row r="271" spans="4:5" x14ac:dyDescent="0.2">
      <c r="D271" s="4">
        <f t="shared" si="9"/>
        <v>268</v>
      </c>
      <c r="E271" s="8">
        <f t="shared" si="8"/>
        <v>0.53600000000000003</v>
      </c>
    </row>
    <row r="272" spans="4:5" x14ac:dyDescent="0.2">
      <c r="D272" s="4">
        <f t="shared" si="9"/>
        <v>269</v>
      </c>
      <c r="E272" s="8">
        <f t="shared" si="8"/>
        <v>0.53800000000000003</v>
      </c>
    </row>
    <row r="273" spans="4:5" x14ac:dyDescent="0.2">
      <c r="D273" s="4">
        <f t="shared" si="9"/>
        <v>270</v>
      </c>
      <c r="E273" s="8">
        <f t="shared" si="8"/>
        <v>0.54</v>
      </c>
    </row>
    <row r="274" spans="4:5" x14ac:dyDescent="0.2">
      <c r="D274" s="4">
        <f t="shared" si="9"/>
        <v>271</v>
      </c>
      <c r="E274" s="8">
        <f t="shared" si="8"/>
        <v>0.54200000000000004</v>
      </c>
    </row>
    <row r="275" spans="4:5" x14ac:dyDescent="0.2">
      <c r="D275" s="4">
        <f t="shared" si="9"/>
        <v>272</v>
      </c>
      <c r="E275" s="8">
        <f t="shared" si="8"/>
        <v>0.54400000000000004</v>
      </c>
    </row>
    <row r="276" spans="4:5" x14ac:dyDescent="0.2">
      <c r="D276" s="4">
        <f t="shared" si="9"/>
        <v>273</v>
      </c>
      <c r="E276" s="8">
        <f t="shared" si="8"/>
        <v>0.54600000000000004</v>
      </c>
    </row>
    <row r="277" spans="4:5" x14ac:dyDescent="0.2">
      <c r="D277" s="4">
        <f t="shared" si="9"/>
        <v>274</v>
      </c>
      <c r="E277" s="8">
        <f t="shared" si="8"/>
        <v>0.54800000000000004</v>
      </c>
    </row>
    <row r="278" spans="4:5" x14ac:dyDescent="0.2">
      <c r="D278" s="4">
        <f t="shared" si="9"/>
        <v>275</v>
      </c>
      <c r="E278" s="8">
        <f t="shared" si="8"/>
        <v>0.55000000000000004</v>
      </c>
    </row>
    <row r="279" spans="4:5" x14ac:dyDescent="0.2">
      <c r="D279" s="4">
        <f t="shared" si="9"/>
        <v>276</v>
      </c>
      <c r="E279" s="8">
        <f t="shared" si="8"/>
        <v>0.55200000000000005</v>
      </c>
    </row>
    <row r="280" spans="4:5" x14ac:dyDescent="0.2">
      <c r="D280" s="4">
        <f t="shared" si="9"/>
        <v>277</v>
      </c>
      <c r="E280" s="8">
        <f t="shared" si="8"/>
        <v>0.55400000000000005</v>
      </c>
    </row>
    <row r="281" spans="4:5" x14ac:dyDescent="0.2">
      <c r="D281" s="4">
        <f t="shared" si="9"/>
        <v>278</v>
      </c>
      <c r="E281" s="8">
        <f t="shared" si="8"/>
        <v>0.55600000000000005</v>
      </c>
    </row>
    <row r="282" spans="4:5" x14ac:dyDescent="0.2">
      <c r="D282" s="4">
        <f t="shared" si="9"/>
        <v>279</v>
      </c>
      <c r="E282" s="8">
        <f t="shared" si="8"/>
        <v>0.55800000000000005</v>
      </c>
    </row>
    <row r="283" spans="4:5" x14ac:dyDescent="0.2">
      <c r="D283" s="4">
        <f t="shared" si="9"/>
        <v>280</v>
      </c>
      <c r="E283" s="8">
        <f t="shared" si="8"/>
        <v>0.56000000000000005</v>
      </c>
    </row>
    <row r="284" spans="4:5" x14ac:dyDescent="0.2">
      <c r="D284" s="4">
        <f t="shared" si="9"/>
        <v>281</v>
      </c>
      <c r="E284" s="8">
        <f t="shared" si="8"/>
        <v>0.56200000000000006</v>
      </c>
    </row>
    <row r="285" spans="4:5" x14ac:dyDescent="0.2">
      <c r="D285" s="4">
        <f t="shared" si="9"/>
        <v>282</v>
      </c>
      <c r="E285" s="8">
        <f t="shared" si="8"/>
        <v>0.56400000000000006</v>
      </c>
    </row>
    <row r="286" spans="4:5" x14ac:dyDescent="0.2">
      <c r="D286" s="4">
        <f t="shared" si="9"/>
        <v>283</v>
      </c>
      <c r="E286" s="8">
        <f t="shared" si="8"/>
        <v>0.56600000000000006</v>
      </c>
    </row>
    <row r="287" spans="4:5" x14ac:dyDescent="0.2">
      <c r="D287" s="4">
        <f t="shared" si="9"/>
        <v>284</v>
      </c>
      <c r="E287" s="8">
        <f t="shared" si="8"/>
        <v>0.56800000000000006</v>
      </c>
    </row>
    <row r="288" spans="4:5" x14ac:dyDescent="0.2">
      <c r="D288" s="4">
        <f t="shared" si="9"/>
        <v>285</v>
      </c>
      <c r="E288" s="8">
        <f t="shared" si="8"/>
        <v>0.57000000000000006</v>
      </c>
    </row>
    <row r="289" spans="4:5" x14ac:dyDescent="0.2">
      <c r="D289" s="4">
        <f t="shared" si="9"/>
        <v>286</v>
      </c>
      <c r="E289" s="8">
        <f t="shared" si="8"/>
        <v>0.57200000000000006</v>
      </c>
    </row>
    <row r="290" spans="4:5" x14ac:dyDescent="0.2">
      <c r="D290" s="4">
        <f t="shared" si="9"/>
        <v>287</v>
      </c>
      <c r="E290" s="8">
        <f t="shared" si="8"/>
        <v>0.57400000000000007</v>
      </c>
    </row>
    <row r="291" spans="4:5" x14ac:dyDescent="0.2">
      <c r="D291" s="4">
        <f t="shared" si="9"/>
        <v>288</v>
      </c>
      <c r="E291" s="8">
        <f t="shared" si="8"/>
        <v>0.57600000000000007</v>
      </c>
    </row>
    <row r="292" spans="4:5" x14ac:dyDescent="0.2">
      <c r="D292" s="4">
        <f t="shared" si="9"/>
        <v>289</v>
      </c>
      <c r="E292" s="8">
        <f t="shared" si="8"/>
        <v>0.57799999999999996</v>
      </c>
    </row>
    <row r="293" spans="4:5" x14ac:dyDescent="0.2">
      <c r="D293" s="4">
        <f t="shared" si="9"/>
        <v>290</v>
      </c>
      <c r="E293" s="8">
        <f t="shared" si="8"/>
        <v>0.57999999999999996</v>
      </c>
    </row>
    <row r="294" spans="4:5" x14ac:dyDescent="0.2">
      <c r="D294" s="4">
        <f t="shared" si="9"/>
        <v>291</v>
      </c>
      <c r="E294" s="8">
        <f t="shared" si="8"/>
        <v>0.58199999999999996</v>
      </c>
    </row>
    <row r="295" spans="4:5" x14ac:dyDescent="0.2">
      <c r="D295" s="4">
        <f t="shared" si="9"/>
        <v>292</v>
      </c>
      <c r="E295" s="8">
        <f t="shared" si="8"/>
        <v>0.58399999999999996</v>
      </c>
    </row>
    <row r="296" spans="4:5" x14ac:dyDescent="0.2">
      <c r="D296" s="4">
        <f t="shared" si="9"/>
        <v>293</v>
      </c>
      <c r="E296" s="8">
        <f t="shared" si="8"/>
        <v>0.58599999999999997</v>
      </c>
    </row>
    <row r="297" spans="4:5" x14ac:dyDescent="0.2">
      <c r="D297" s="4">
        <f t="shared" si="9"/>
        <v>294</v>
      </c>
      <c r="E297" s="8">
        <f t="shared" si="8"/>
        <v>0.58799999999999997</v>
      </c>
    </row>
    <row r="298" spans="4:5" x14ac:dyDescent="0.2">
      <c r="D298" s="4">
        <f t="shared" si="9"/>
        <v>295</v>
      </c>
      <c r="E298" s="8">
        <f t="shared" si="8"/>
        <v>0.59</v>
      </c>
    </row>
    <row r="299" spans="4:5" x14ac:dyDescent="0.2">
      <c r="D299" s="4">
        <f t="shared" si="9"/>
        <v>296</v>
      </c>
      <c r="E299" s="8">
        <f t="shared" si="8"/>
        <v>0.59199999999999997</v>
      </c>
    </row>
    <row r="300" spans="4:5" x14ac:dyDescent="0.2">
      <c r="D300" s="4">
        <f t="shared" si="9"/>
        <v>297</v>
      </c>
      <c r="E300" s="8">
        <f t="shared" si="8"/>
        <v>0.59399999999999997</v>
      </c>
    </row>
    <row r="301" spans="4:5" x14ac:dyDescent="0.2">
      <c r="D301" s="4">
        <f t="shared" si="9"/>
        <v>298</v>
      </c>
      <c r="E301" s="8">
        <f t="shared" si="8"/>
        <v>0.59599999999999997</v>
      </c>
    </row>
    <row r="302" spans="4:5" x14ac:dyDescent="0.2">
      <c r="D302" s="4">
        <f t="shared" si="9"/>
        <v>299</v>
      </c>
      <c r="E302" s="8">
        <f t="shared" si="8"/>
        <v>0.59799999999999998</v>
      </c>
    </row>
    <row r="303" spans="4:5" x14ac:dyDescent="0.2">
      <c r="D303" s="4">
        <f t="shared" si="9"/>
        <v>300</v>
      </c>
      <c r="E303" s="8">
        <f t="shared" si="8"/>
        <v>0.6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Weapons</vt:lpstr>
      <vt:lpstr>Armor</vt:lpstr>
      <vt:lpstr>Jewelry</vt:lpstr>
      <vt:lpstr>Junk</vt:lpstr>
      <vt:lpstr>NoTake</vt:lpstr>
      <vt:lpstr>Mob Chart</vt:lpstr>
      <vt:lpstr>Armor Class</vt:lpstr>
    </vt:vector>
  </TitlesOfParts>
  <Company>Mecklenburg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bryansl</dc:creator>
  <cp:lastModifiedBy>Steve B</cp:lastModifiedBy>
  <cp:lastPrinted>2003-04-08T19:04:41Z</cp:lastPrinted>
  <dcterms:created xsi:type="dcterms:W3CDTF">2003-03-17T13:38:26Z</dcterms:created>
  <dcterms:modified xsi:type="dcterms:W3CDTF">2025-12-21T01:51:01Z</dcterms:modified>
</cp:coreProperties>
</file>