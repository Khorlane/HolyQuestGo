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HolyQuestGo\Doc\Spreadsheets\"/>
    </mc:Choice>
  </mc:AlternateContent>
  <xr:revisionPtr revIDLastSave="0" documentId="8_{34E44BBF-A65E-4F23-B01D-5A34726FA8C9}" xr6:coauthVersionLast="47" xr6:coauthVersionMax="47" xr10:uidLastSave="{00000000-0000-0000-0000-000000000000}"/>
  <bookViews>
    <workbookView xWindow="-120" yWindow="-120" windowWidth="29040" windowHeight="15720" xr2:uid="{B61F9DCF-B74F-4749-846C-6B58E8FC69BB}"/>
  </bookViews>
  <sheets>
    <sheet name="HitPoints" sheetId="1" r:id="rId1"/>
    <sheet name="Level X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H3" i="1" s="1"/>
  <c r="D3" i="1"/>
  <c r="P3" i="1" s="1"/>
  <c r="E3" i="1"/>
  <c r="F3" i="1"/>
  <c r="N3" i="1"/>
  <c r="Q3" i="1"/>
  <c r="R3" i="1"/>
  <c r="A4" i="1"/>
  <c r="B4" i="1"/>
  <c r="J4" i="1" s="1"/>
  <c r="D4" i="1"/>
  <c r="H4" i="1" s="1"/>
  <c r="E4" i="1"/>
  <c r="F4" i="1"/>
  <c r="I4" i="1"/>
  <c r="N4" i="1"/>
  <c r="Q4" i="1" s="1"/>
  <c r="R4" i="1"/>
  <c r="A5" i="1"/>
  <c r="B5" i="1"/>
  <c r="J5" i="1" s="1"/>
  <c r="D5" i="1"/>
  <c r="H5" i="1" s="1"/>
  <c r="E5" i="1"/>
  <c r="F5" i="1"/>
  <c r="I5" i="1"/>
  <c r="N5" i="1"/>
  <c r="Q5" i="1" s="1"/>
  <c r="R5" i="1"/>
  <c r="A6" i="1"/>
  <c r="B6" i="1"/>
  <c r="J6" i="1" s="1"/>
  <c r="D6" i="1"/>
  <c r="H6" i="1" s="1"/>
  <c r="E6" i="1"/>
  <c r="F6" i="1"/>
  <c r="I6" i="1"/>
  <c r="N6" i="1"/>
  <c r="Q6" i="1" s="1"/>
  <c r="R6" i="1"/>
  <c r="A7" i="1"/>
  <c r="B7" i="1"/>
  <c r="J7" i="1" s="1"/>
  <c r="D7" i="1"/>
  <c r="H7" i="1" s="1"/>
  <c r="E7" i="1"/>
  <c r="F7" i="1"/>
  <c r="I7" i="1"/>
  <c r="N7" i="1"/>
  <c r="Q7" i="1" s="1"/>
  <c r="R7" i="1"/>
  <c r="A8" i="1"/>
  <c r="B8" i="1"/>
  <c r="J8" i="1" s="1"/>
  <c r="D8" i="1"/>
  <c r="H8" i="1" s="1"/>
  <c r="E8" i="1"/>
  <c r="F8" i="1"/>
  <c r="I8" i="1"/>
  <c r="N8" i="1"/>
  <c r="Q8" i="1" s="1"/>
  <c r="R8" i="1"/>
  <c r="A9" i="1"/>
  <c r="B9" i="1"/>
  <c r="J9" i="1" s="1"/>
  <c r="D9" i="1"/>
  <c r="H9" i="1" s="1"/>
  <c r="E9" i="1"/>
  <c r="F9" i="1"/>
  <c r="I9" i="1"/>
  <c r="A10" i="1"/>
  <c r="B10" i="1" s="1"/>
  <c r="E10" i="1"/>
  <c r="N10" i="1"/>
  <c r="Q10" i="1"/>
  <c r="A11" i="1"/>
  <c r="B11" i="1" s="1"/>
  <c r="E11" i="1"/>
  <c r="N11" i="1"/>
  <c r="Q11" i="1"/>
  <c r="A12" i="1"/>
  <c r="B12" i="1" s="1"/>
  <c r="E12" i="1"/>
  <c r="N12" i="1"/>
  <c r="Q12" i="1"/>
  <c r="A13" i="1"/>
  <c r="B13" i="1" s="1"/>
  <c r="E13" i="1"/>
  <c r="N13" i="1"/>
  <c r="Q13" i="1"/>
  <c r="A14" i="1"/>
  <c r="B14" i="1" s="1"/>
  <c r="E14" i="1"/>
  <c r="N14" i="1"/>
  <c r="Q14" i="1"/>
  <c r="A15" i="1"/>
  <c r="B15" i="1" s="1"/>
  <c r="E15" i="1"/>
  <c r="N15" i="1"/>
  <c r="Q15" i="1"/>
  <c r="A16" i="1"/>
  <c r="A17" i="1" s="1"/>
  <c r="E16" i="1"/>
  <c r="N17" i="1"/>
  <c r="N18" i="1"/>
  <c r="N19" i="1"/>
  <c r="N20" i="1"/>
  <c r="N21" i="1"/>
  <c r="N22" i="1"/>
  <c r="A5" i="2"/>
  <c r="B5" i="2"/>
  <c r="A6" i="2"/>
  <c r="B6" i="2" s="1"/>
  <c r="H10" i="1" l="1"/>
  <c r="I10" i="1"/>
  <c r="I11" i="1"/>
  <c r="J13" i="1"/>
  <c r="I13" i="1"/>
  <c r="J14" i="1"/>
  <c r="H14" i="1"/>
  <c r="I14" i="1"/>
  <c r="A18" i="1"/>
  <c r="B17" i="1"/>
  <c r="D17" i="1"/>
  <c r="P17" i="1" s="1"/>
  <c r="E17" i="1"/>
  <c r="Q17" i="1" s="1"/>
  <c r="F17" i="1"/>
  <c r="R17" i="1" s="1"/>
  <c r="J15" i="1"/>
  <c r="I15" i="1"/>
  <c r="J12" i="1"/>
  <c r="I12" i="1"/>
  <c r="F16" i="1"/>
  <c r="F15" i="1"/>
  <c r="R15" i="1" s="1"/>
  <c r="F14" i="1"/>
  <c r="R14" i="1" s="1"/>
  <c r="F13" i="1"/>
  <c r="R13" i="1" s="1"/>
  <c r="F12" i="1"/>
  <c r="R12" i="1" s="1"/>
  <c r="F11" i="1"/>
  <c r="R11" i="1" s="1"/>
  <c r="F10" i="1"/>
  <c r="R10" i="1" s="1"/>
  <c r="D16" i="1"/>
  <c r="D15" i="1"/>
  <c r="P15" i="1" s="1"/>
  <c r="D14" i="1"/>
  <c r="P14" i="1" s="1"/>
  <c r="D13" i="1"/>
  <c r="P13" i="1" s="1"/>
  <c r="D12" i="1"/>
  <c r="P12" i="1" s="1"/>
  <c r="D11" i="1"/>
  <c r="P11" i="1" s="1"/>
  <c r="D10" i="1"/>
  <c r="P10" i="1" s="1"/>
  <c r="B16" i="1"/>
  <c r="P8" i="1"/>
  <c r="P7" i="1"/>
  <c r="P6" i="1"/>
  <c r="P5" i="1"/>
  <c r="P4" i="1"/>
  <c r="J3" i="1"/>
  <c r="I3" i="1"/>
  <c r="A7" i="2"/>
  <c r="B7" i="2" l="1"/>
  <c r="A8" i="2"/>
  <c r="H11" i="1"/>
  <c r="H15" i="1"/>
  <c r="H12" i="1"/>
  <c r="J11" i="1"/>
  <c r="J16" i="1"/>
  <c r="H16" i="1"/>
  <c r="I16" i="1"/>
  <c r="H13" i="1"/>
  <c r="J17" i="1"/>
  <c r="H17" i="1"/>
  <c r="I17" i="1"/>
  <c r="A19" i="1"/>
  <c r="B18" i="1"/>
  <c r="D18" i="1"/>
  <c r="P18" i="1" s="1"/>
  <c r="E18" i="1"/>
  <c r="Q18" i="1" s="1"/>
  <c r="F18" i="1"/>
  <c r="R18" i="1" s="1"/>
  <c r="J10" i="1"/>
  <c r="J18" i="1" l="1"/>
  <c r="H18" i="1"/>
  <c r="I18" i="1"/>
  <c r="A20" i="1"/>
  <c r="B19" i="1"/>
  <c r="E19" i="1"/>
  <c r="Q19" i="1" s="1"/>
  <c r="F19" i="1"/>
  <c r="R19" i="1" s="1"/>
  <c r="D19" i="1"/>
  <c r="P19" i="1" s="1"/>
  <c r="B8" i="2"/>
  <c r="A9" i="2"/>
  <c r="B9" i="2" l="1"/>
  <c r="A10" i="2"/>
  <c r="J19" i="1"/>
  <c r="H19" i="1"/>
  <c r="I19" i="1"/>
  <c r="A21" i="1"/>
  <c r="B20" i="1"/>
  <c r="E20" i="1"/>
  <c r="Q20" i="1" s="1"/>
  <c r="F20" i="1"/>
  <c r="R20" i="1" s="1"/>
  <c r="D20" i="1"/>
  <c r="P20" i="1" s="1"/>
  <c r="H20" i="1" l="1"/>
  <c r="I20" i="1"/>
  <c r="J20" i="1"/>
  <c r="A22" i="1"/>
  <c r="B21" i="1"/>
  <c r="E21" i="1"/>
  <c r="Q21" i="1" s="1"/>
  <c r="F21" i="1"/>
  <c r="R21" i="1" s="1"/>
  <c r="D21" i="1"/>
  <c r="P21" i="1" s="1"/>
  <c r="B10" i="2"/>
  <c r="A11" i="2"/>
  <c r="A12" i="2" l="1"/>
  <c r="B11" i="2"/>
  <c r="J21" i="1"/>
  <c r="H21" i="1"/>
  <c r="I21" i="1"/>
  <c r="A23" i="1"/>
  <c r="B22" i="1"/>
  <c r="D22" i="1"/>
  <c r="P22" i="1" s="1"/>
  <c r="E22" i="1"/>
  <c r="Q22" i="1" s="1"/>
  <c r="F22" i="1"/>
  <c r="R22" i="1" s="1"/>
  <c r="J22" i="1" l="1"/>
  <c r="H22" i="1"/>
  <c r="I22" i="1"/>
  <c r="B23" i="1"/>
  <c r="D23" i="1"/>
  <c r="E23" i="1"/>
  <c r="F23" i="1"/>
  <c r="A24" i="1"/>
  <c r="B12" i="2"/>
  <c r="A13" i="2"/>
  <c r="E24" i="1" l="1"/>
  <c r="F24" i="1"/>
  <c r="A25" i="1"/>
  <c r="B24" i="1"/>
  <c r="D24" i="1"/>
  <c r="B13" i="2"/>
  <c r="A14" i="2"/>
  <c r="J23" i="1"/>
  <c r="H23" i="1"/>
  <c r="I23" i="1"/>
  <c r="H24" i="1" l="1"/>
  <c r="J24" i="1"/>
  <c r="I24" i="1"/>
  <c r="A26" i="1"/>
  <c r="E25" i="1"/>
  <c r="B25" i="1"/>
  <c r="D25" i="1"/>
  <c r="F25" i="1"/>
  <c r="B14" i="2"/>
  <c r="A15" i="2"/>
  <c r="B15" i="2" l="1"/>
  <c r="A16" i="2"/>
  <c r="J25" i="1"/>
  <c r="H25" i="1"/>
  <c r="I25" i="1"/>
  <c r="B26" i="1"/>
  <c r="E26" i="1"/>
  <c r="F26" i="1"/>
  <c r="A27" i="1"/>
  <c r="D26" i="1"/>
  <c r="E27" i="1" l="1"/>
  <c r="F27" i="1"/>
  <c r="A28" i="1"/>
  <c r="D27" i="1"/>
  <c r="B27" i="1"/>
  <c r="H26" i="1"/>
  <c r="I26" i="1"/>
  <c r="J26" i="1"/>
  <c r="B16" i="2"/>
  <c r="A17" i="2"/>
  <c r="H27" i="1" l="1"/>
  <c r="J27" i="1"/>
  <c r="I27" i="1"/>
  <c r="A18" i="2"/>
  <c r="B17" i="2"/>
  <c r="A29" i="1"/>
  <c r="E28" i="1"/>
  <c r="B28" i="1"/>
  <c r="D28" i="1"/>
  <c r="F28" i="1"/>
  <c r="J28" i="1" l="1"/>
  <c r="H28" i="1"/>
  <c r="I28" i="1"/>
  <c r="B29" i="1"/>
  <c r="E29" i="1"/>
  <c r="F29" i="1"/>
  <c r="A30" i="1"/>
  <c r="D29" i="1"/>
  <c r="B18" i="2"/>
  <c r="A19" i="2"/>
  <c r="B19" i="2" l="1"/>
  <c r="A20" i="2"/>
  <c r="E30" i="1"/>
  <c r="F30" i="1"/>
  <c r="A31" i="1"/>
  <c r="D30" i="1"/>
  <c r="B30" i="1"/>
  <c r="J29" i="1"/>
  <c r="H29" i="1"/>
  <c r="I29" i="1"/>
  <c r="H30" i="1" l="1"/>
  <c r="J30" i="1"/>
  <c r="I30" i="1"/>
  <c r="A32" i="1"/>
  <c r="B31" i="1"/>
  <c r="D31" i="1"/>
  <c r="E31" i="1"/>
  <c r="F31" i="1"/>
  <c r="B20" i="2"/>
  <c r="A21" i="2"/>
  <c r="B21" i="2" l="1"/>
  <c r="A22" i="2"/>
  <c r="B32" i="1"/>
  <c r="E32" i="1"/>
  <c r="F32" i="1"/>
  <c r="D32" i="1"/>
  <c r="J31" i="1"/>
  <c r="H31" i="1"/>
  <c r="I31" i="1"/>
  <c r="J32" i="1" l="1"/>
  <c r="H32" i="1"/>
  <c r="I32" i="1"/>
  <c r="B22" i="2"/>
  <c r="A23" i="2"/>
  <c r="B23" i="2" l="1"/>
  <c r="A24" i="2"/>
  <c r="B24" i="2" l="1"/>
  <c r="A25" i="2"/>
  <c r="B25" i="2" l="1"/>
  <c r="A26" i="2"/>
  <c r="B26" i="2" l="1"/>
  <c r="A27" i="2"/>
  <c r="B27" i="2" l="1"/>
  <c r="A28" i="2"/>
  <c r="B28" i="2" l="1"/>
  <c r="A29" i="2"/>
  <c r="A30" i="2" l="1"/>
  <c r="B29" i="2"/>
  <c r="B30" i="2" l="1"/>
  <c r="A31" i="2"/>
  <c r="B31" i="2" l="1"/>
  <c r="A32" i="2"/>
  <c r="B32" i="2" l="1"/>
  <c r="A33" i="2"/>
  <c r="B33" i="2" l="1"/>
  <c r="A34" i="2"/>
  <c r="B34" i="2" l="1"/>
  <c r="A35" i="2"/>
  <c r="B35" i="2" l="1"/>
  <c r="A36" i="2"/>
  <c r="B36" i="2" l="1"/>
  <c r="A37" i="2"/>
  <c r="B37" i="2" l="1"/>
  <c r="A38" i="2"/>
  <c r="B38" i="2" l="1"/>
  <c r="A39" i="2"/>
  <c r="B39" i="2" l="1"/>
  <c r="A40" i="2"/>
  <c r="B40" i="2" l="1"/>
  <c r="A41" i="2"/>
  <c r="A42" i="2" l="1"/>
  <c r="B41" i="2"/>
  <c r="B42" i="2" l="1"/>
  <c r="A43" i="2"/>
  <c r="B43" i="2" l="1"/>
  <c r="A44" i="2"/>
  <c r="B44" i="2" l="1"/>
  <c r="A45" i="2"/>
  <c r="B45" i="2" l="1"/>
  <c r="A46" i="2"/>
  <c r="B46" i="2" l="1"/>
  <c r="A47" i="2"/>
  <c r="A48" i="2" l="1"/>
  <c r="B47" i="2"/>
  <c r="B48" i="2" l="1"/>
  <c r="A49" i="2"/>
  <c r="B49" i="2" l="1"/>
  <c r="A50" i="2"/>
  <c r="B50" i="2" l="1"/>
  <c r="A51" i="2"/>
  <c r="B51" i="2" l="1"/>
  <c r="A52" i="2"/>
  <c r="B52" i="2" l="1"/>
  <c r="A53" i="2"/>
  <c r="B53" i="2" s="1"/>
</calcChain>
</file>

<file path=xl/sharedStrings.xml><?xml version="1.0" encoding="utf-8"?>
<sst xmlns="http://schemas.openxmlformats.org/spreadsheetml/2006/main" count="29" uniqueCount="18">
  <si>
    <t>Level</t>
  </si>
  <si>
    <t>Stand</t>
  </si>
  <si>
    <t>Sit</t>
  </si>
  <si>
    <t>Sleep</t>
  </si>
  <si>
    <t>Max</t>
  </si>
  <si>
    <t>Seconds to Max HitPoints</t>
  </si>
  <si>
    <t>HitPoints Gained per Tick</t>
  </si>
  <si>
    <t>Percent</t>
  </si>
  <si>
    <t>Hunger</t>
  </si>
  <si>
    <t xml:space="preserve"> - Gain</t>
  </si>
  <si>
    <t>Thirst</t>
  </si>
  <si>
    <t>HitPoints Gained</t>
  </si>
  <si>
    <t>HitPoints</t>
  </si>
  <si>
    <t>Experience</t>
  </si>
  <si>
    <t>Needed to</t>
  </si>
  <si>
    <t>Obtain Level</t>
  </si>
  <si>
    <t>Per</t>
  </si>
  <si>
    <t>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</si>
</sst>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9ADD9-0C2E-40F5-9094-09E50261596C}">
  <dimension ref="A1:R32"/>
  <sheetViews>
    <sheetView tabSelected="1" workbookViewId="0"/>
  </sheetViews>
  <sheetFormatPr defaultRowHeight="12.75" x14ac:dyDescent="0.2"/>
  <cols>
    <col min="3" max="3" width="2.7109375" customWidth="1"/>
    <col min="4" max="6" width="7.7109375" customWidth="1"/>
    <col min="7" max="7" width="2.7109375" customWidth="1"/>
    <col min="8" max="10" width="8.7109375" customWidth="1"/>
    <col min="11" max="11" width="2.7109375" customWidth="1"/>
    <col min="15" max="15" width="2.7109375" customWidth="1"/>
    <col min="16" max="16" width="6.28515625" bestFit="1" customWidth="1"/>
    <col min="17" max="17" width="4" bestFit="1" customWidth="1"/>
    <col min="18" max="18" width="6.28515625" bestFit="1" customWidth="1"/>
  </cols>
  <sheetData>
    <row r="1" spans="1:18" x14ac:dyDescent="0.2">
      <c r="A1" s="2"/>
      <c r="B1" s="2" t="s">
        <v>4</v>
      </c>
      <c r="C1" s="2"/>
      <c r="D1" s="9" t="s">
        <v>6</v>
      </c>
      <c r="E1" s="9"/>
      <c r="F1" s="9"/>
      <c r="G1" s="2"/>
      <c r="H1" s="9" t="s">
        <v>5</v>
      </c>
      <c r="I1" s="9"/>
      <c r="J1" s="9"/>
      <c r="K1" s="1"/>
      <c r="L1" s="2" t="s">
        <v>7</v>
      </c>
      <c r="M1" s="2" t="s">
        <v>7</v>
      </c>
      <c r="N1" s="2" t="s">
        <v>7</v>
      </c>
      <c r="O1" s="2"/>
      <c r="P1" s="9" t="s">
        <v>11</v>
      </c>
      <c r="Q1" s="10"/>
      <c r="R1" s="10"/>
    </row>
    <row r="2" spans="1:18" x14ac:dyDescent="0.2">
      <c r="A2" s="2" t="s">
        <v>0</v>
      </c>
      <c r="B2" s="2" t="s">
        <v>12</v>
      </c>
      <c r="C2" s="2"/>
      <c r="D2" s="2" t="s">
        <v>1</v>
      </c>
      <c r="E2" s="2" t="s">
        <v>2</v>
      </c>
      <c r="F2" s="2" t="s">
        <v>3</v>
      </c>
      <c r="G2" s="2"/>
      <c r="H2" s="2" t="s">
        <v>1</v>
      </c>
      <c r="I2" s="2" t="s">
        <v>2</v>
      </c>
      <c r="J2" s="2" t="s">
        <v>3</v>
      </c>
      <c r="K2" s="1"/>
      <c r="L2" s="2" t="s">
        <v>8</v>
      </c>
      <c r="M2" s="2" t="s">
        <v>10</v>
      </c>
      <c r="N2" s="3" t="s">
        <v>9</v>
      </c>
      <c r="O2" s="3"/>
      <c r="P2" s="2" t="s">
        <v>1</v>
      </c>
      <c r="Q2" s="2" t="s">
        <v>2</v>
      </c>
      <c r="R2" s="2" t="s">
        <v>3</v>
      </c>
    </row>
    <row r="3" spans="1:18" x14ac:dyDescent="0.2">
      <c r="A3" s="1">
        <v>1</v>
      </c>
      <c r="B3" s="1">
        <f>+A3*31</f>
        <v>31</v>
      </c>
      <c r="C3" s="1"/>
      <c r="D3" s="1">
        <f>+A3*2</f>
        <v>2</v>
      </c>
      <c r="E3" s="1">
        <f>+A3*5</f>
        <v>5</v>
      </c>
      <c r="F3" s="1">
        <f>+A3*9</f>
        <v>9</v>
      </c>
      <c r="G3" s="1"/>
      <c r="H3" s="4">
        <f t="shared" ref="H3:H31" si="0">+B3/D3*10.1</f>
        <v>156.54999999999998</v>
      </c>
      <c r="I3" s="4">
        <f t="shared" ref="I3:I31" si="1">+B3/E3*10.1</f>
        <v>62.62</v>
      </c>
      <c r="J3" s="4">
        <f t="shared" ref="J3:J31" si="2">+B3/F3*10.1</f>
        <v>34.788888888888891</v>
      </c>
      <c r="K3" s="1"/>
      <c r="L3" s="1">
        <v>100</v>
      </c>
      <c r="M3" s="1">
        <v>100</v>
      </c>
      <c r="N3" s="5">
        <f t="shared" ref="N3:N8" si="3">FLOOR((+L3+M3)/4,1)</f>
        <v>50</v>
      </c>
      <c r="O3" s="5"/>
      <c r="P3" s="1">
        <f t="shared" ref="P3:P8" si="4">D3-CEILING(+D3*(N3/100),1)</f>
        <v>1</v>
      </c>
      <c r="Q3" s="1">
        <f t="shared" ref="Q3:Q8" si="5">E3-CEILING(+E3*(N3/100),1)</f>
        <v>2</v>
      </c>
      <c r="R3" s="1">
        <f t="shared" ref="R3:R8" si="6">F3-CEILING(+F3*(N3/100),1)</f>
        <v>4</v>
      </c>
    </row>
    <row r="4" spans="1:18" x14ac:dyDescent="0.2">
      <c r="A4" s="1">
        <f>+A3+1</f>
        <v>2</v>
      </c>
      <c r="B4" s="1">
        <f t="shared" ref="B4:B32" si="7">+A4*31</f>
        <v>62</v>
      </c>
      <c r="C4" s="1"/>
      <c r="D4" s="1">
        <f t="shared" ref="D4:D32" si="8">+A4*2</f>
        <v>4</v>
      </c>
      <c r="E4" s="1">
        <f t="shared" ref="E4:E32" si="9">+A4*5</f>
        <v>10</v>
      </c>
      <c r="F4" s="1">
        <f t="shared" ref="F4:F32" si="10">+A4*9</f>
        <v>18</v>
      </c>
      <c r="G4" s="1"/>
      <c r="H4" s="4">
        <f t="shared" si="0"/>
        <v>156.54999999999998</v>
      </c>
      <c r="I4" s="4">
        <f t="shared" si="1"/>
        <v>62.62</v>
      </c>
      <c r="J4" s="4">
        <f t="shared" si="2"/>
        <v>34.788888888888891</v>
      </c>
      <c r="K4" s="1"/>
      <c r="L4" s="1">
        <v>100</v>
      </c>
      <c r="M4" s="1">
        <v>50</v>
      </c>
      <c r="N4" s="5">
        <f t="shared" si="3"/>
        <v>37</v>
      </c>
      <c r="O4" s="5"/>
      <c r="P4" s="1">
        <f t="shared" si="4"/>
        <v>2</v>
      </c>
      <c r="Q4" s="1">
        <f t="shared" si="5"/>
        <v>6</v>
      </c>
      <c r="R4" s="1">
        <f t="shared" si="6"/>
        <v>11</v>
      </c>
    </row>
    <row r="5" spans="1:18" x14ac:dyDescent="0.2">
      <c r="A5" s="1">
        <f t="shared" ref="A5:A32" si="11">+A4+1</f>
        <v>3</v>
      </c>
      <c r="B5" s="1">
        <f t="shared" si="7"/>
        <v>93</v>
      </c>
      <c r="C5" s="1"/>
      <c r="D5" s="1">
        <f t="shared" si="8"/>
        <v>6</v>
      </c>
      <c r="E5" s="1">
        <f t="shared" si="9"/>
        <v>15</v>
      </c>
      <c r="F5" s="1">
        <f t="shared" si="10"/>
        <v>27</v>
      </c>
      <c r="G5" s="1"/>
      <c r="H5" s="4">
        <f t="shared" si="0"/>
        <v>156.54999999999998</v>
      </c>
      <c r="I5" s="4">
        <f t="shared" si="1"/>
        <v>62.62</v>
      </c>
      <c r="J5" s="4">
        <f t="shared" si="2"/>
        <v>34.788888888888891</v>
      </c>
      <c r="K5" s="1"/>
      <c r="L5" s="1">
        <v>100</v>
      </c>
      <c r="M5" s="1">
        <v>25</v>
      </c>
      <c r="N5" s="5">
        <f t="shared" si="3"/>
        <v>31</v>
      </c>
      <c r="O5" s="5"/>
      <c r="P5" s="1">
        <f t="shared" si="4"/>
        <v>4</v>
      </c>
      <c r="Q5" s="1">
        <f t="shared" si="5"/>
        <v>10</v>
      </c>
      <c r="R5" s="1">
        <f t="shared" si="6"/>
        <v>18</v>
      </c>
    </row>
    <row r="6" spans="1:18" x14ac:dyDescent="0.2">
      <c r="A6" s="1">
        <f t="shared" si="11"/>
        <v>4</v>
      </c>
      <c r="B6" s="1">
        <f t="shared" si="7"/>
        <v>124</v>
      </c>
      <c r="C6" s="1"/>
      <c r="D6" s="1">
        <f t="shared" si="8"/>
        <v>8</v>
      </c>
      <c r="E6" s="1">
        <f t="shared" si="9"/>
        <v>20</v>
      </c>
      <c r="F6" s="1">
        <f t="shared" si="10"/>
        <v>36</v>
      </c>
      <c r="G6" s="1"/>
      <c r="H6" s="4">
        <f t="shared" si="0"/>
        <v>156.54999999999998</v>
      </c>
      <c r="I6" s="4">
        <f t="shared" si="1"/>
        <v>62.62</v>
      </c>
      <c r="J6" s="4">
        <f t="shared" si="2"/>
        <v>34.788888888888891</v>
      </c>
      <c r="K6" s="1"/>
      <c r="L6" s="1">
        <v>100</v>
      </c>
      <c r="M6" s="1">
        <v>12</v>
      </c>
      <c r="N6" s="5">
        <f t="shared" si="3"/>
        <v>28</v>
      </c>
      <c r="O6" s="5"/>
      <c r="P6" s="1">
        <f t="shared" si="4"/>
        <v>5</v>
      </c>
      <c r="Q6" s="1">
        <f t="shared" si="5"/>
        <v>14</v>
      </c>
      <c r="R6" s="1">
        <f t="shared" si="6"/>
        <v>25</v>
      </c>
    </row>
    <row r="7" spans="1:18" x14ac:dyDescent="0.2">
      <c r="A7" s="1">
        <f t="shared" si="11"/>
        <v>5</v>
      </c>
      <c r="B7" s="1">
        <f t="shared" si="7"/>
        <v>155</v>
      </c>
      <c r="C7" s="1"/>
      <c r="D7" s="1">
        <f t="shared" si="8"/>
        <v>10</v>
      </c>
      <c r="E7" s="1">
        <f t="shared" si="9"/>
        <v>25</v>
      </c>
      <c r="F7" s="1">
        <f t="shared" si="10"/>
        <v>45</v>
      </c>
      <c r="G7" s="1"/>
      <c r="H7" s="4">
        <f t="shared" si="0"/>
        <v>156.54999999999998</v>
      </c>
      <c r="I7" s="4">
        <f t="shared" si="1"/>
        <v>62.62</v>
      </c>
      <c r="J7" s="4">
        <f t="shared" si="2"/>
        <v>34.788888888888891</v>
      </c>
      <c r="K7" s="1"/>
      <c r="L7" s="1">
        <v>100</v>
      </c>
      <c r="M7" s="1">
        <v>2</v>
      </c>
      <c r="N7" s="5">
        <f t="shared" si="3"/>
        <v>25</v>
      </c>
      <c r="O7" s="5"/>
      <c r="P7" s="1">
        <f t="shared" si="4"/>
        <v>7</v>
      </c>
      <c r="Q7" s="1">
        <f t="shared" si="5"/>
        <v>18</v>
      </c>
      <c r="R7" s="1">
        <f t="shared" si="6"/>
        <v>33</v>
      </c>
    </row>
    <row r="8" spans="1:18" x14ac:dyDescent="0.2">
      <c r="A8" s="1">
        <f t="shared" si="11"/>
        <v>6</v>
      </c>
      <c r="B8" s="1">
        <f t="shared" si="7"/>
        <v>186</v>
      </c>
      <c r="C8" s="1"/>
      <c r="D8" s="1">
        <f t="shared" si="8"/>
        <v>12</v>
      </c>
      <c r="E8" s="1">
        <f t="shared" si="9"/>
        <v>30</v>
      </c>
      <c r="F8" s="1">
        <f t="shared" si="10"/>
        <v>54</v>
      </c>
      <c r="G8" s="1"/>
      <c r="H8" s="4">
        <f t="shared" si="0"/>
        <v>156.54999999999998</v>
      </c>
      <c r="I8" s="4">
        <f t="shared" si="1"/>
        <v>62.62</v>
      </c>
      <c r="J8" s="4">
        <f t="shared" si="2"/>
        <v>34.788888888888891</v>
      </c>
      <c r="K8" s="1"/>
      <c r="L8" s="1">
        <v>100</v>
      </c>
      <c r="M8" s="1">
        <v>1</v>
      </c>
      <c r="N8" s="5">
        <f t="shared" si="3"/>
        <v>25</v>
      </c>
      <c r="O8" s="5"/>
      <c r="P8" s="1">
        <f t="shared" si="4"/>
        <v>9</v>
      </c>
      <c r="Q8" s="1">
        <f t="shared" si="5"/>
        <v>22</v>
      </c>
      <c r="R8" s="1">
        <f t="shared" si="6"/>
        <v>40</v>
      </c>
    </row>
    <row r="9" spans="1:18" x14ac:dyDescent="0.2">
      <c r="A9" s="1">
        <f t="shared" si="11"/>
        <v>7</v>
      </c>
      <c r="B9" s="1">
        <f t="shared" si="7"/>
        <v>217</v>
      </c>
      <c r="C9" s="1"/>
      <c r="D9" s="1">
        <f t="shared" si="8"/>
        <v>14</v>
      </c>
      <c r="E9" s="1">
        <f t="shared" si="9"/>
        <v>35</v>
      </c>
      <c r="F9" s="1">
        <f t="shared" si="10"/>
        <v>63</v>
      </c>
      <c r="G9" s="1"/>
      <c r="H9" s="4">
        <f t="shared" si="0"/>
        <v>156.54999999999998</v>
      </c>
      <c r="I9" s="4">
        <f t="shared" si="1"/>
        <v>62.62</v>
      </c>
      <c r="J9" s="4">
        <f t="shared" si="2"/>
        <v>34.788888888888891</v>
      </c>
      <c r="K9" s="1"/>
      <c r="L9" s="1"/>
      <c r="M9" s="1"/>
      <c r="N9" s="1"/>
      <c r="O9" s="1"/>
      <c r="P9" s="1"/>
      <c r="Q9" s="1"/>
      <c r="R9" s="1"/>
    </row>
    <row r="10" spans="1:18" x14ac:dyDescent="0.2">
      <c r="A10" s="1">
        <f t="shared" si="11"/>
        <v>8</v>
      </c>
      <c r="B10" s="1">
        <f t="shared" si="7"/>
        <v>248</v>
      </c>
      <c r="C10" s="1"/>
      <c r="D10" s="1">
        <f t="shared" si="8"/>
        <v>16</v>
      </c>
      <c r="E10" s="1">
        <f t="shared" si="9"/>
        <v>40</v>
      </c>
      <c r="F10" s="1">
        <f t="shared" si="10"/>
        <v>72</v>
      </c>
      <c r="G10" s="1"/>
      <c r="H10" s="4">
        <f t="shared" si="0"/>
        <v>156.54999999999998</v>
      </c>
      <c r="I10" s="4">
        <f t="shared" si="1"/>
        <v>62.62</v>
      </c>
      <c r="J10" s="4">
        <f t="shared" si="2"/>
        <v>34.788888888888891</v>
      </c>
      <c r="K10" s="1"/>
      <c r="L10" s="1">
        <v>100</v>
      </c>
      <c r="M10" s="1">
        <v>100</v>
      </c>
      <c r="N10" s="5">
        <f t="shared" ref="N10:N15" si="12">FLOOR((+L10+M10)/4,1)</f>
        <v>50</v>
      </c>
      <c r="O10" s="5"/>
      <c r="P10" s="1">
        <f t="shared" ref="P10:P15" si="13">D10-CEILING(+D10*(N10/100),1)</f>
        <v>8</v>
      </c>
      <c r="Q10" s="1">
        <f t="shared" ref="Q10:Q15" si="14">E10-CEILING(+E10*(N10/100),1)</f>
        <v>20</v>
      </c>
      <c r="R10" s="1">
        <f t="shared" ref="R10:R15" si="15">F10-CEILING(+F10*(N10/100),1)</f>
        <v>36</v>
      </c>
    </row>
    <row r="11" spans="1:18" x14ac:dyDescent="0.2">
      <c r="A11" s="1">
        <f t="shared" si="11"/>
        <v>9</v>
      </c>
      <c r="B11" s="1">
        <f t="shared" si="7"/>
        <v>279</v>
      </c>
      <c r="C11" s="1"/>
      <c r="D11" s="1">
        <f t="shared" si="8"/>
        <v>18</v>
      </c>
      <c r="E11" s="1">
        <f t="shared" si="9"/>
        <v>45</v>
      </c>
      <c r="F11" s="1">
        <f t="shared" si="10"/>
        <v>81</v>
      </c>
      <c r="G11" s="1"/>
      <c r="H11" s="4">
        <f t="shared" si="0"/>
        <v>156.54999999999998</v>
      </c>
      <c r="I11" s="4">
        <f t="shared" si="1"/>
        <v>62.62</v>
      </c>
      <c r="J11" s="4">
        <f t="shared" si="2"/>
        <v>34.788888888888891</v>
      </c>
      <c r="K11" s="1"/>
      <c r="L11" s="1">
        <v>50</v>
      </c>
      <c r="M11" s="1">
        <v>100</v>
      </c>
      <c r="N11" s="5">
        <f t="shared" si="12"/>
        <v>37</v>
      </c>
      <c r="O11" s="5"/>
      <c r="P11" s="1">
        <f t="shared" si="13"/>
        <v>11</v>
      </c>
      <c r="Q11" s="1">
        <f t="shared" si="14"/>
        <v>28</v>
      </c>
      <c r="R11" s="1">
        <f t="shared" si="15"/>
        <v>51</v>
      </c>
    </row>
    <row r="12" spans="1:18" x14ac:dyDescent="0.2">
      <c r="A12" s="1">
        <f t="shared" si="11"/>
        <v>10</v>
      </c>
      <c r="B12" s="1">
        <f t="shared" si="7"/>
        <v>310</v>
      </c>
      <c r="C12" s="1"/>
      <c r="D12" s="1">
        <f t="shared" si="8"/>
        <v>20</v>
      </c>
      <c r="E12" s="1">
        <f t="shared" si="9"/>
        <v>50</v>
      </c>
      <c r="F12" s="1">
        <f t="shared" si="10"/>
        <v>90</v>
      </c>
      <c r="G12" s="1"/>
      <c r="H12" s="4">
        <f t="shared" si="0"/>
        <v>156.54999999999998</v>
      </c>
      <c r="I12" s="4">
        <f t="shared" si="1"/>
        <v>62.62</v>
      </c>
      <c r="J12" s="4">
        <f t="shared" si="2"/>
        <v>34.788888888888891</v>
      </c>
      <c r="K12" s="1"/>
      <c r="L12" s="1">
        <v>25</v>
      </c>
      <c r="M12" s="1">
        <v>100</v>
      </c>
      <c r="N12" s="5">
        <f t="shared" si="12"/>
        <v>31</v>
      </c>
      <c r="O12" s="5"/>
      <c r="P12" s="1">
        <f t="shared" si="13"/>
        <v>13</v>
      </c>
      <c r="Q12" s="1">
        <f t="shared" si="14"/>
        <v>34</v>
      </c>
      <c r="R12" s="1">
        <f t="shared" si="15"/>
        <v>62</v>
      </c>
    </row>
    <row r="13" spans="1:18" x14ac:dyDescent="0.2">
      <c r="A13" s="1">
        <f t="shared" si="11"/>
        <v>11</v>
      </c>
      <c r="B13" s="1">
        <f t="shared" si="7"/>
        <v>341</v>
      </c>
      <c r="C13" s="1"/>
      <c r="D13" s="1">
        <f t="shared" si="8"/>
        <v>22</v>
      </c>
      <c r="E13" s="1">
        <f t="shared" si="9"/>
        <v>55</v>
      </c>
      <c r="F13" s="1">
        <f t="shared" si="10"/>
        <v>99</v>
      </c>
      <c r="G13" s="1"/>
      <c r="H13" s="4">
        <f t="shared" si="0"/>
        <v>156.54999999999998</v>
      </c>
      <c r="I13" s="4">
        <f t="shared" si="1"/>
        <v>62.62</v>
      </c>
      <c r="J13" s="4">
        <f t="shared" si="2"/>
        <v>34.788888888888891</v>
      </c>
      <c r="K13" s="1"/>
      <c r="L13" s="1">
        <v>12</v>
      </c>
      <c r="M13" s="1">
        <v>100</v>
      </c>
      <c r="N13" s="5">
        <f t="shared" si="12"/>
        <v>28</v>
      </c>
      <c r="O13" s="5"/>
      <c r="P13" s="1">
        <f t="shared" si="13"/>
        <v>15</v>
      </c>
      <c r="Q13" s="1">
        <f t="shared" si="14"/>
        <v>39</v>
      </c>
      <c r="R13" s="1">
        <f t="shared" si="15"/>
        <v>71</v>
      </c>
    </row>
    <row r="14" spans="1:18" x14ac:dyDescent="0.2">
      <c r="A14" s="1">
        <f t="shared" si="11"/>
        <v>12</v>
      </c>
      <c r="B14" s="1">
        <f t="shared" si="7"/>
        <v>372</v>
      </c>
      <c r="C14" s="1"/>
      <c r="D14" s="1">
        <f t="shared" si="8"/>
        <v>24</v>
      </c>
      <c r="E14" s="1">
        <f t="shared" si="9"/>
        <v>60</v>
      </c>
      <c r="F14" s="1">
        <f t="shared" si="10"/>
        <v>108</v>
      </c>
      <c r="G14" s="1"/>
      <c r="H14" s="4">
        <f t="shared" si="0"/>
        <v>156.54999999999998</v>
      </c>
      <c r="I14" s="4">
        <f t="shared" si="1"/>
        <v>62.62</v>
      </c>
      <c r="J14" s="4">
        <f t="shared" si="2"/>
        <v>34.788888888888891</v>
      </c>
      <c r="K14" s="1"/>
      <c r="L14" s="1">
        <v>2</v>
      </c>
      <c r="M14" s="1">
        <v>100</v>
      </c>
      <c r="N14" s="5">
        <f t="shared" si="12"/>
        <v>25</v>
      </c>
      <c r="O14" s="5"/>
      <c r="P14" s="1">
        <f t="shared" si="13"/>
        <v>18</v>
      </c>
      <c r="Q14" s="1">
        <f t="shared" si="14"/>
        <v>45</v>
      </c>
      <c r="R14" s="1">
        <f t="shared" si="15"/>
        <v>81</v>
      </c>
    </row>
    <row r="15" spans="1:18" x14ac:dyDescent="0.2">
      <c r="A15" s="1">
        <f t="shared" si="11"/>
        <v>13</v>
      </c>
      <c r="B15" s="1">
        <f t="shared" si="7"/>
        <v>403</v>
      </c>
      <c r="C15" s="1"/>
      <c r="D15" s="1">
        <f t="shared" si="8"/>
        <v>26</v>
      </c>
      <c r="E15" s="1">
        <f t="shared" si="9"/>
        <v>65</v>
      </c>
      <c r="F15" s="1">
        <f t="shared" si="10"/>
        <v>117</v>
      </c>
      <c r="G15" s="1"/>
      <c r="H15" s="4">
        <f t="shared" si="0"/>
        <v>156.54999999999998</v>
      </c>
      <c r="I15" s="4">
        <f t="shared" si="1"/>
        <v>62.62</v>
      </c>
      <c r="J15" s="4">
        <f t="shared" si="2"/>
        <v>34.788888888888891</v>
      </c>
      <c r="K15" s="1"/>
      <c r="L15" s="1">
        <v>1</v>
      </c>
      <c r="M15" s="1">
        <v>100</v>
      </c>
      <c r="N15" s="5">
        <f t="shared" si="12"/>
        <v>25</v>
      </c>
      <c r="O15" s="5"/>
      <c r="P15" s="1">
        <f t="shared" si="13"/>
        <v>19</v>
      </c>
      <c r="Q15" s="1">
        <f t="shared" si="14"/>
        <v>48</v>
      </c>
      <c r="R15" s="1">
        <f t="shared" si="15"/>
        <v>87</v>
      </c>
    </row>
    <row r="16" spans="1:18" x14ac:dyDescent="0.2">
      <c r="A16" s="1">
        <f t="shared" si="11"/>
        <v>14</v>
      </c>
      <c r="B16" s="1">
        <f t="shared" si="7"/>
        <v>434</v>
      </c>
      <c r="C16" s="1"/>
      <c r="D16" s="1">
        <f t="shared" si="8"/>
        <v>28</v>
      </c>
      <c r="E16" s="1">
        <f t="shared" si="9"/>
        <v>70</v>
      </c>
      <c r="F16" s="1">
        <f t="shared" si="10"/>
        <v>126</v>
      </c>
      <c r="G16" s="1"/>
      <c r="H16" s="4">
        <f t="shared" si="0"/>
        <v>156.54999999999998</v>
      </c>
      <c r="I16" s="4">
        <f t="shared" si="1"/>
        <v>62.62</v>
      </c>
      <c r="J16" s="4">
        <f t="shared" si="2"/>
        <v>34.788888888888891</v>
      </c>
      <c r="K16" s="1"/>
      <c r="L16" s="1"/>
      <c r="M16" s="1"/>
      <c r="N16" s="1"/>
      <c r="O16" s="1"/>
      <c r="P16" s="1"/>
      <c r="Q16" s="1"/>
      <c r="R16" s="1"/>
    </row>
    <row r="17" spans="1:18" x14ac:dyDescent="0.2">
      <c r="A17" s="1">
        <f t="shared" si="11"/>
        <v>15</v>
      </c>
      <c r="B17" s="1">
        <f t="shared" si="7"/>
        <v>465</v>
      </c>
      <c r="C17" s="1"/>
      <c r="D17" s="1">
        <f t="shared" si="8"/>
        <v>30</v>
      </c>
      <c r="E17" s="1">
        <f t="shared" si="9"/>
        <v>75</v>
      </c>
      <c r="F17" s="1">
        <f t="shared" si="10"/>
        <v>135</v>
      </c>
      <c r="G17" s="1"/>
      <c r="H17" s="4">
        <f t="shared" si="0"/>
        <v>156.54999999999998</v>
      </c>
      <c r="I17" s="4">
        <f t="shared" si="1"/>
        <v>62.62</v>
      </c>
      <c r="J17" s="4">
        <f t="shared" si="2"/>
        <v>34.788888888888891</v>
      </c>
      <c r="K17" s="1"/>
      <c r="L17" s="1">
        <v>100</v>
      </c>
      <c r="M17" s="1">
        <v>100</v>
      </c>
      <c r="N17" s="5">
        <f t="shared" ref="N17:N22" si="16">FLOOR((+L17+M17)/4,1)</f>
        <v>50</v>
      </c>
      <c r="O17" s="5"/>
      <c r="P17" s="1">
        <f t="shared" ref="P17:P22" si="17">D17-CEILING(+D17*(N17/100),1)</f>
        <v>15</v>
      </c>
      <c r="Q17" s="1">
        <f t="shared" ref="Q17:Q22" si="18">E17-CEILING(+E17*(N17/100),1)</f>
        <v>37</v>
      </c>
      <c r="R17" s="1">
        <f t="shared" ref="R17:R22" si="19">F17-CEILING(+F17*(N17/100),1)</f>
        <v>67</v>
      </c>
    </row>
    <row r="18" spans="1:18" x14ac:dyDescent="0.2">
      <c r="A18" s="1">
        <f t="shared" si="11"/>
        <v>16</v>
      </c>
      <c r="B18" s="1">
        <f t="shared" si="7"/>
        <v>496</v>
      </c>
      <c r="C18" s="1"/>
      <c r="D18" s="1">
        <f t="shared" si="8"/>
        <v>32</v>
      </c>
      <c r="E18" s="1">
        <f t="shared" si="9"/>
        <v>80</v>
      </c>
      <c r="F18" s="1">
        <f t="shared" si="10"/>
        <v>144</v>
      </c>
      <c r="G18" s="1"/>
      <c r="H18" s="4">
        <f t="shared" si="0"/>
        <v>156.54999999999998</v>
      </c>
      <c r="I18" s="4">
        <f t="shared" si="1"/>
        <v>62.62</v>
      </c>
      <c r="J18" s="4">
        <f t="shared" si="2"/>
        <v>34.788888888888891</v>
      </c>
      <c r="K18" s="1"/>
      <c r="L18" s="1">
        <v>50</v>
      </c>
      <c r="M18" s="1">
        <v>50</v>
      </c>
      <c r="N18" s="5">
        <f t="shared" si="16"/>
        <v>25</v>
      </c>
      <c r="O18" s="5"/>
      <c r="P18" s="1">
        <f t="shared" si="17"/>
        <v>24</v>
      </c>
      <c r="Q18" s="1">
        <f t="shared" si="18"/>
        <v>60</v>
      </c>
      <c r="R18" s="1">
        <f t="shared" si="19"/>
        <v>108</v>
      </c>
    </row>
    <row r="19" spans="1:18" x14ac:dyDescent="0.2">
      <c r="A19" s="1">
        <f t="shared" si="11"/>
        <v>17</v>
      </c>
      <c r="B19" s="1">
        <f t="shared" si="7"/>
        <v>527</v>
      </c>
      <c r="C19" s="1"/>
      <c r="D19" s="1">
        <f t="shared" si="8"/>
        <v>34</v>
      </c>
      <c r="E19" s="1">
        <f t="shared" si="9"/>
        <v>85</v>
      </c>
      <c r="F19" s="1">
        <f t="shared" si="10"/>
        <v>153</v>
      </c>
      <c r="G19" s="1"/>
      <c r="H19" s="4">
        <f t="shared" si="0"/>
        <v>156.54999999999998</v>
      </c>
      <c r="I19" s="4">
        <f t="shared" si="1"/>
        <v>62.62</v>
      </c>
      <c r="J19" s="4">
        <f t="shared" si="2"/>
        <v>34.788888888888891</v>
      </c>
      <c r="K19" s="1"/>
      <c r="L19" s="1">
        <v>25</v>
      </c>
      <c r="M19" s="1">
        <v>25</v>
      </c>
      <c r="N19" s="5">
        <f t="shared" si="16"/>
        <v>12</v>
      </c>
      <c r="O19" s="5"/>
      <c r="P19" s="1">
        <f t="shared" si="17"/>
        <v>29</v>
      </c>
      <c r="Q19" s="1">
        <f t="shared" si="18"/>
        <v>74</v>
      </c>
      <c r="R19" s="1">
        <f t="shared" si="19"/>
        <v>134</v>
      </c>
    </row>
    <row r="20" spans="1:18" x14ac:dyDescent="0.2">
      <c r="A20" s="1">
        <f t="shared" si="11"/>
        <v>18</v>
      </c>
      <c r="B20" s="1">
        <f t="shared" si="7"/>
        <v>558</v>
      </c>
      <c r="C20" s="1"/>
      <c r="D20" s="1">
        <f t="shared" si="8"/>
        <v>36</v>
      </c>
      <c r="E20" s="1">
        <f t="shared" si="9"/>
        <v>90</v>
      </c>
      <c r="F20" s="1">
        <f t="shared" si="10"/>
        <v>162</v>
      </c>
      <c r="G20" s="1"/>
      <c r="H20" s="4">
        <f t="shared" si="0"/>
        <v>156.54999999999998</v>
      </c>
      <c r="I20" s="4">
        <f t="shared" si="1"/>
        <v>62.62</v>
      </c>
      <c r="J20" s="4">
        <f t="shared" si="2"/>
        <v>34.788888888888891</v>
      </c>
      <c r="K20" s="1"/>
      <c r="L20" s="1">
        <v>12</v>
      </c>
      <c r="M20" s="1">
        <v>12</v>
      </c>
      <c r="N20" s="5">
        <f t="shared" si="16"/>
        <v>6</v>
      </c>
      <c r="O20" s="5"/>
      <c r="P20" s="1">
        <f t="shared" si="17"/>
        <v>33</v>
      </c>
      <c r="Q20" s="1">
        <f t="shared" si="18"/>
        <v>84</v>
      </c>
      <c r="R20" s="1">
        <f t="shared" si="19"/>
        <v>152</v>
      </c>
    </row>
    <row r="21" spans="1:18" x14ac:dyDescent="0.2">
      <c r="A21" s="1">
        <f t="shared" si="11"/>
        <v>19</v>
      </c>
      <c r="B21" s="1">
        <f t="shared" si="7"/>
        <v>589</v>
      </c>
      <c r="C21" s="1"/>
      <c r="D21" s="1">
        <f t="shared" si="8"/>
        <v>38</v>
      </c>
      <c r="E21" s="1">
        <f t="shared" si="9"/>
        <v>95</v>
      </c>
      <c r="F21" s="1">
        <f t="shared" si="10"/>
        <v>171</v>
      </c>
      <c r="G21" s="1"/>
      <c r="H21" s="4">
        <f t="shared" si="0"/>
        <v>156.54999999999998</v>
      </c>
      <c r="I21" s="4">
        <f t="shared" si="1"/>
        <v>62.62</v>
      </c>
      <c r="J21" s="4">
        <f t="shared" si="2"/>
        <v>34.788888888888891</v>
      </c>
      <c r="K21" s="1"/>
      <c r="L21" s="1">
        <v>2</v>
      </c>
      <c r="M21" s="1">
        <v>2</v>
      </c>
      <c r="N21" s="5">
        <f t="shared" si="16"/>
        <v>1</v>
      </c>
      <c r="O21" s="5"/>
      <c r="P21" s="1">
        <f t="shared" si="17"/>
        <v>37</v>
      </c>
      <c r="Q21" s="1">
        <f t="shared" si="18"/>
        <v>94</v>
      </c>
      <c r="R21" s="1">
        <f t="shared" si="19"/>
        <v>169</v>
      </c>
    </row>
    <row r="22" spans="1:18" x14ac:dyDescent="0.2">
      <c r="A22" s="1">
        <f t="shared" si="11"/>
        <v>20</v>
      </c>
      <c r="B22" s="1">
        <f t="shared" si="7"/>
        <v>620</v>
      </c>
      <c r="C22" s="1"/>
      <c r="D22" s="1">
        <f t="shared" si="8"/>
        <v>40</v>
      </c>
      <c r="E22" s="1">
        <f t="shared" si="9"/>
        <v>100</v>
      </c>
      <c r="F22" s="1">
        <f t="shared" si="10"/>
        <v>180</v>
      </c>
      <c r="G22" s="1"/>
      <c r="H22" s="4">
        <f t="shared" si="0"/>
        <v>156.54999999999998</v>
      </c>
      <c r="I22" s="4">
        <f t="shared" si="1"/>
        <v>62.62</v>
      </c>
      <c r="J22" s="4">
        <f t="shared" si="2"/>
        <v>34.788888888888891</v>
      </c>
      <c r="K22" s="1"/>
      <c r="L22" s="1">
        <v>1</v>
      </c>
      <c r="M22" s="1">
        <v>1</v>
      </c>
      <c r="N22" s="5">
        <f t="shared" si="16"/>
        <v>0</v>
      </c>
      <c r="O22" s="5"/>
      <c r="P22" s="1">
        <f t="shared" si="17"/>
        <v>40</v>
      </c>
      <c r="Q22" s="1">
        <f t="shared" si="18"/>
        <v>100</v>
      </c>
      <c r="R22" s="1">
        <f t="shared" si="19"/>
        <v>180</v>
      </c>
    </row>
    <row r="23" spans="1:18" x14ac:dyDescent="0.2">
      <c r="A23" s="1">
        <f t="shared" si="11"/>
        <v>21</v>
      </c>
      <c r="B23" s="1">
        <f t="shared" si="7"/>
        <v>651</v>
      </c>
      <c r="C23" s="1"/>
      <c r="D23" s="1">
        <f t="shared" si="8"/>
        <v>42</v>
      </c>
      <c r="E23" s="1">
        <f t="shared" si="9"/>
        <v>105</v>
      </c>
      <c r="F23" s="1">
        <f t="shared" si="10"/>
        <v>189</v>
      </c>
      <c r="G23" s="1"/>
      <c r="H23" s="4">
        <f t="shared" si="0"/>
        <v>156.54999999999998</v>
      </c>
      <c r="I23" s="4">
        <f t="shared" si="1"/>
        <v>62.62</v>
      </c>
      <c r="J23" s="4">
        <f t="shared" si="2"/>
        <v>34.788888888888891</v>
      </c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1">
        <f t="shared" si="11"/>
        <v>22</v>
      </c>
      <c r="B24" s="1">
        <f t="shared" si="7"/>
        <v>682</v>
      </c>
      <c r="C24" s="1"/>
      <c r="D24" s="1">
        <f t="shared" si="8"/>
        <v>44</v>
      </c>
      <c r="E24" s="1">
        <f t="shared" si="9"/>
        <v>110</v>
      </c>
      <c r="F24" s="1">
        <f t="shared" si="10"/>
        <v>198</v>
      </c>
      <c r="G24" s="1"/>
      <c r="H24" s="4">
        <f t="shared" si="0"/>
        <v>156.54999999999998</v>
      </c>
      <c r="I24" s="4">
        <f t="shared" si="1"/>
        <v>62.62</v>
      </c>
      <c r="J24" s="4">
        <f t="shared" si="2"/>
        <v>34.788888888888891</v>
      </c>
      <c r="K24" s="1"/>
      <c r="L24" s="1"/>
      <c r="M24" s="1"/>
      <c r="N24" s="1"/>
      <c r="O24" s="1"/>
      <c r="P24" s="1"/>
      <c r="Q24" s="1"/>
      <c r="R24" s="1"/>
    </row>
    <row r="25" spans="1:18" x14ac:dyDescent="0.2">
      <c r="A25" s="1">
        <f t="shared" si="11"/>
        <v>23</v>
      </c>
      <c r="B25" s="1">
        <f t="shared" si="7"/>
        <v>713</v>
      </c>
      <c r="C25" s="1"/>
      <c r="D25" s="1">
        <f t="shared" si="8"/>
        <v>46</v>
      </c>
      <c r="E25" s="1">
        <f t="shared" si="9"/>
        <v>115</v>
      </c>
      <c r="F25" s="1">
        <f t="shared" si="10"/>
        <v>207</v>
      </c>
      <c r="G25" s="1"/>
      <c r="H25" s="4">
        <f t="shared" si="0"/>
        <v>156.54999999999998</v>
      </c>
      <c r="I25" s="4">
        <f t="shared" si="1"/>
        <v>62.62</v>
      </c>
      <c r="J25" s="4">
        <f t="shared" si="2"/>
        <v>34.788888888888891</v>
      </c>
      <c r="K25" s="1"/>
      <c r="L25" s="1"/>
      <c r="M25" s="1"/>
      <c r="N25" s="1"/>
      <c r="O25" s="1"/>
      <c r="P25" s="1"/>
      <c r="Q25" s="1"/>
      <c r="R25" s="1"/>
    </row>
    <row r="26" spans="1:18" x14ac:dyDescent="0.2">
      <c r="A26" s="1">
        <f t="shared" si="11"/>
        <v>24</v>
      </c>
      <c r="B26" s="1">
        <f t="shared" si="7"/>
        <v>744</v>
      </c>
      <c r="C26" s="1"/>
      <c r="D26" s="1">
        <f t="shared" si="8"/>
        <v>48</v>
      </c>
      <c r="E26" s="1">
        <f t="shared" si="9"/>
        <v>120</v>
      </c>
      <c r="F26" s="1">
        <f t="shared" si="10"/>
        <v>216</v>
      </c>
      <c r="G26" s="1"/>
      <c r="H26" s="4">
        <f t="shared" si="0"/>
        <v>156.54999999999998</v>
      </c>
      <c r="I26" s="4">
        <f t="shared" si="1"/>
        <v>62.62</v>
      </c>
      <c r="J26" s="4">
        <f t="shared" si="2"/>
        <v>34.788888888888891</v>
      </c>
      <c r="K26" s="1"/>
      <c r="L26" s="1"/>
      <c r="M26" s="1"/>
      <c r="N26" s="1"/>
      <c r="O26" s="1"/>
      <c r="P26" s="1"/>
      <c r="Q26" s="1"/>
      <c r="R26" s="1"/>
    </row>
    <row r="27" spans="1:18" x14ac:dyDescent="0.2">
      <c r="A27" s="1">
        <f t="shared" si="11"/>
        <v>25</v>
      </c>
      <c r="B27" s="1">
        <f t="shared" si="7"/>
        <v>775</v>
      </c>
      <c r="C27" s="1"/>
      <c r="D27" s="1">
        <f t="shared" si="8"/>
        <v>50</v>
      </c>
      <c r="E27" s="1">
        <f t="shared" si="9"/>
        <v>125</v>
      </c>
      <c r="F27" s="1">
        <f t="shared" si="10"/>
        <v>225</v>
      </c>
      <c r="G27" s="1"/>
      <c r="H27" s="4">
        <f t="shared" si="0"/>
        <v>156.54999999999998</v>
      </c>
      <c r="I27" s="4">
        <f t="shared" si="1"/>
        <v>62.62</v>
      </c>
      <c r="J27" s="4">
        <f t="shared" si="2"/>
        <v>34.788888888888891</v>
      </c>
      <c r="K27" s="1"/>
      <c r="L27" s="1"/>
      <c r="M27" s="1"/>
      <c r="N27" s="1"/>
      <c r="O27" s="1"/>
      <c r="P27" s="1"/>
      <c r="Q27" s="1"/>
      <c r="R27" s="1"/>
    </row>
    <row r="28" spans="1:18" x14ac:dyDescent="0.2">
      <c r="A28" s="1">
        <f t="shared" si="11"/>
        <v>26</v>
      </c>
      <c r="B28" s="1">
        <f t="shared" si="7"/>
        <v>806</v>
      </c>
      <c r="C28" s="1"/>
      <c r="D28" s="1">
        <f t="shared" si="8"/>
        <v>52</v>
      </c>
      <c r="E28" s="1">
        <f t="shared" si="9"/>
        <v>130</v>
      </c>
      <c r="F28" s="1">
        <f t="shared" si="10"/>
        <v>234</v>
      </c>
      <c r="G28" s="1"/>
      <c r="H28" s="4">
        <f t="shared" si="0"/>
        <v>156.54999999999998</v>
      </c>
      <c r="I28" s="4">
        <f t="shared" si="1"/>
        <v>62.62</v>
      </c>
      <c r="J28" s="4">
        <f t="shared" si="2"/>
        <v>34.788888888888891</v>
      </c>
      <c r="K28" s="1"/>
      <c r="L28" s="1"/>
      <c r="M28" s="1"/>
      <c r="N28" s="1"/>
      <c r="O28" s="1"/>
      <c r="P28" s="1"/>
      <c r="Q28" s="1"/>
      <c r="R28" s="1"/>
    </row>
    <row r="29" spans="1:18" x14ac:dyDescent="0.2">
      <c r="A29" s="1">
        <f t="shared" si="11"/>
        <v>27</v>
      </c>
      <c r="B29" s="1">
        <f t="shared" si="7"/>
        <v>837</v>
      </c>
      <c r="C29" s="1"/>
      <c r="D29" s="1">
        <f t="shared" si="8"/>
        <v>54</v>
      </c>
      <c r="E29" s="1">
        <f t="shared" si="9"/>
        <v>135</v>
      </c>
      <c r="F29" s="1">
        <f t="shared" si="10"/>
        <v>243</v>
      </c>
      <c r="G29" s="1"/>
      <c r="H29" s="4">
        <f t="shared" si="0"/>
        <v>156.54999999999998</v>
      </c>
      <c r="I29" s="4">
        <f t="shared" si="1"/>
        <v>62.62</v>
      </c>
      <c r="J29" s="4">
        <f t="shared" si="2"/>
        <v>34.788888888888891</v>
      </c>
      <c r="K29" s="1"/>
      <c r="L29" s="1"/>
      <c r="M29" s="1"/>
      <c r="N29" s="1"/>
      <c r="O29" s="1"/>
      <c r="P29" s="1"/>
      <c r="Q29" s="1"/>
      <c r="R29" s="1"/>
    </row>
    <row r="30" spans="1:18" x14ac:dyDescent="0.2">
      <c r="A30" s="1">
        <f t="shared" si="11"/>
        <v>28</v>
      </c>
      <c r="B30" s="1">
        <f t="shared" si="7"/>
        <v>868</v>
      </c>
      <c r="C30" s="1"/>
      <c r="D30" s="1">
        <f t="shared" si="8"/>
        <v>56</v>
      </c>
      <c r="E30" s="1">
        <f t="shared" si="9"/>
        <v>140</v>
      </c>
      <c r="F30" s="1">
        <f t="shared" si="10"/>
        <v>252</v>
      </c>
      <c r="G30" s="1"/>
      <c r="H30" s="4">
        <f t="shared" si="0"/>
        <v>156.54999999999998</v>
      </c>
      <c r="I30" s="4">
        <f t="shared" si="1"/>
        <v>62.62</v>
      </c>
      <c r="J30" s="4">
        <f t="shared" si="2"/>
        <v>34.788888888888891</v>
      </c>
      <c r="K30" s="1"/>
      <c r="L30" s="1"/>
      <c r="M30" s="1"/>
      <c r="N30" s="1"/>
      <c r="O30" s="1"/>
      <c r="P30" s="1"/>
      <c r="Q30" s="1"/>
      <c r="R30" s="1"/>
    </row>
    <row r="31" spans="1:18" x14ac:dyDescent="0.2">
      <c r="A31" s="1">
        <f t="shared" si="11"/>
        <v>29</v>
      </c>
      <c r="B31" s="1">
        <f t="shared" si="7"/>
        <v>899</v>
      </c>
      <c r="C31" s="1"/>
      <c r="D31" s="1">
        <f t="shared" si="8"/>
        <v>58</v>
      </c>
      <c r="E31" s="1">
        <f t="shared" si="9"/>
        <v>145</v>
      </c>
      <c r="F31" s="1">
        <f t="shared" si="10"/>
        <v>261</v>
      </c>
      <c r="G31" s="1"/>
      <c r="H31" s="4">
        <f t="shared" si="0"/>
        <v>156.54999999999998</v>
      </c>
      <c r="I31" s="4">
        <f t="shared" si="1"/>
        <v>62.62</v>
      </c>
      <c r="J31" s="4">
        <f t="shared" si="2"/>
        <v>34.788888888888891</v>
      </c>
      <c r="K31" s="1"/>
      <c r="L31" s="1"/>
      <c r="M31" s="1"/>
      <c r="N31" s="1"/>
      <c r="O31" s="1"/>
      <c r="P31" s="1"/>
      <c r="Q31" s="1"/>
      <c r="R31" s="1"/>
    </row>
    <row r="32" spans="1:18" x14ac:dyDescent="0.2">
      <c r="A32" s="1">
        <f t="shared" si="11"/>
        <v>30</v>
      </c>
      <c r="B32" s="1">
        <f t="shared" si="7"/>
        <v>930</v>
      </c>
      <c r="C32" s="1"/>
      <c r="D32" s="1">
        <f t="shared" si="8"/>
        <v>60</v>
      </c>
      <c r="E32" s="1">
        <f t="shared" si="9"/>
        <v>150</v>
      </c>
      <c r="F32" s="1">
        <f t="shared" si="10"/>
        <v>270</v>
      </c>
      <c r="G32" s="1"/>
      <c r="H32" s="4">
        <f>+B32/D32*10.1</f>
        <v>156.54999999999998</v>
      </c>
      <c r="I32" s="4">
        <f>+B32/E32*10.1</f>
        <v>62.62</v>
      </c>
      <c r="J32" s="4">
        <f>+B32/F32*10.1</f>
        <v>34.788888888888891</v>
      </c>
      <c r="K32" s="1"/>
      <c r="L32" s="1"/>
      <c r="M32" s="1"/>
      <c r="N32" s="1"/>
      <c r="O32" s="1"/>
      <c r="P32" s="1"/>
      <c r="Q32" s="1"/>
      <c r="R32" s="1"/>
    </row>
  </sheetData>
  <mergeCells count="3">
    <mergeCell ref="H1:J1"/>
    <mergeCell ref="D1:F1"/>
    <mergeCell ref="P1:R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84D60-33C4-4D72-8447-A70364C2E7A5}">
  <dimension ref="A1:E53"/>
  <sheetViews>
    <sheetView workbookViewId="0"/>
  </sheetViews>
  <sheetFormatPr defaultRowHeight="12.75" x14ac:dyDescent="0.2"/>
  <cols>
    <col min="2" max="2" width="15.7109375" style="8" customWidth="1"/>
    <col min="3" max="3" width="5.28515625" customWidth="1"/>
    <col min="4" max="4" width="11.7109375" customWidth="1"/>
  </cols>
  <sheetData>
    <row r="1" spans="1:5" x14ac:dyDescent="0.2">
      <c r="B1" s="7" t="s">
        <v>13</v>
      </c>
      <c r="D1" s="6" t="s">
        <v>13</v>
      </c>
    </row>
    <row r="2" spans="1:5" x14ac:dyDescent="0.2">
      <c r="A2" s="6" t="s">
        <v>17</v>
      </c>
      <c r="B2" s="7" t="s">
        <v>14</v>
      </c>
      <c r="D2" s="6" t="s">
        <v>16</v>
      </c>
      <c r="E2">
        <v>1000</v>
      </c>
    </row>
    <row r="3" spans="1:5" x14ac:dyDescent="0.2">
      <c r="A3" s="6" t="s">
        <v>0</v>
      </c>
      <c r="B3" s="7" t="s">
        <v>15</v>
      </c>
      <c r="D3" s="6" t="s">
        <v>0</v>
      </c>
    </row>
    <row r="4" spans="1:5" x14ac:dyDescent="0.2">
      <c r="A4">
        <v>1</v>
      </c>
      <c r="B4" s="8">
        <v>0</v>
      </c>
    </row>
    <row r="5" spans="1:5" x14ac:dyDescent="0.2">
      <c r="A5">
        <f t="shared" ref="A5:A22" si="0">+A4+1</f>
        <v>2</v>
      </c>
      <c r="B5" s="8">
        <f>+A5*$E$2+B4</f>
        <v>2000</v>
      </c>
    </row>
    <row r="6" spans="1:5" x14ac:dyDescent="0.2">
      <c r="A6">
        <f t="shared" si="0"/>
        <v>3</v>
      </c>
      <c r="B6" s="8">
        <f>+A6*$E$2+B5</f>
        <v>5000</v>
      </c>
    </row>
    <row r="7" spans="1:5" x14ac:dyDescent="0.2">
      <c r="A7">
        <f t="shared" si="0"/>
        <v>4</v>
      </c>
      <c r="B7" s="8">
        <f>+A7*$E$2+B6</f>
        <v>9000</v>
      </c>
    </row>
    <row r="8" spans="1:5" x14ac:dyDescent="0.2">
      <c r="A8">
        <f t="shared" si="0"/>
        <v>5</v>
      </c>
      <c r="B8" s="8">
        <f>+A8*$E$2+B7</f>
        <v>14000</v>
      </c>
    </row>
    <row r="9" spans="1:5" x14ac:dyDescent="0.2">
      <c r="A9">
        <f t="shared" si="0"/>
        <v>6</v>
      </c>
      <c r="B9" s="8">
        <f t="shared" ref="B9:B38" si="1">+A9*$E$2+B8</f>
        <v>20000</v>
      </c>
    </row>
    <row r="10" spans="1:5" x14ac:dyDescent="0.2">
      <c r="A10">
        <f t="shared" si="0"/>
        <v>7</v>
      </c>
      <c r="B10" s="8">
        <f t="shared" si="1"/>
        <v>27000</v>
      </c>
    </row>
    <row r="11" spans="1:5" x14ac:dyDescent="0.2">
      <c r="A11">
        <f t="shared" si="0"/>
        <v>8</v>
      </c>
      <c r="B11" s="8">
        <f t="shared" si="1"/>
        <v>35000</v>
      </c>
    </row>
    <row r="12" spans="1:5" x14ac:dyDescent="0.2">
      <c r="A12">
        <f t="shared" si="0"/>
        <v>9</v>
      </c>
      <c r="B12" s="8">
        <f t="shared" si="1"/>
        <v>44000</v>
      </c>
    </row>
    <row r="13" spans="1:5" x14ac:dyDescent="0.2">
      <c r="A13">
        <f t="shared" si="0"/>
        <v>10</v>
      </c>
      <c r="B13" s="8">
        <f t="shared" si="1"/>
        <v>54000</v>
      </c>
    </row>
    <row r="14" spans="1:5" x14ac:dyDescent="0.2">
      <c r="A14">
        <f t="shared" si="0"/>
        <v>11</v>
      </c>
      <c r="B14" s="8">
        <f t="shared" si="1"/>
        <v>65000</v>
      </c>
    </row>
    <row r="15" spans="1:5" x14ac:dyDescent="0.2">
      <c r="A15">
        <f t="shared" si="0"/>
        <v>12</v>
      </c>
      <c r="B15" s="8">
        <f t="shared" si="1"/>
        <v>77000</v>
      </c>
    </row>
    <row r="16" spans="1:5" x14ac:dyDescent="0.2">
      <c r="A16">
        <f t="shared" si="0"/>
        <v>13</v>
      </c>
      <c r="B16" s="8">
        <f t="shared" si="1"/>
        <v>90000</v>
      </c>
    </row>
    <row r="17" spans="1:2" x14ac:dyDescent="0.2">
      <c r="A17">
        <f t="shared" si="0"/>
        <v>14</v>
      </c>
      <c r="B17" s="8">
        <f t="shared" si="1"/>
        <v>104000</v>
      </c>
    </row>
    <row r="18" spans="1:2" x14ac:dyDescent="0.2">
      <c r="A18">
        <f t="shared" si="0"/>
        <v>15</v>
      </c>
      <c r="B18" s="8">
        <f t="shared" si="1"/>
        <v>119000</v>
      </c>
    </row>
    <row r="19" spans="1:2" x14ac:dyDescent="0.2">
      <c r="A19">
        <f t="shared" si="0"/>
        <v>16</v>
      </c>
      <c r="B19" s="8">
        <f t="shared" si="1"/>
        <v>135000</v>
      </c>
    </row>
    <row r="20" spans="1:2" x14ac:dyDescent="0.2">
      <c r="A20">
        <f t="shared" si="0"/>
        <v>17</v>
      </c>
      <c r="B20" s="8">
        <f t="shared" si="1"/>
        <v>152000</v>
      </c>
    </row>
    <row r="21" spans="1:2" x14ac:dyDescent="0.2">
      <c r="A21">
        <f t="shared" si="0"/>
        <v>18</v>
      </c>
      <c r="B21" s="8">
        <f t="shared" si="1"/>
        <v>170000</v>
      </c>
    </row>
    <row r="22" spans="1:2" x14ac:dyDescent="0.2">
      <c r="A22">
        <f t="shared" si="0"/>
        <v>19</v>
      </c>
      <c r="B22" s="8">
        <f t="shared" si="1"/>
        <v>189000</v>
      </c>
    </row>
    <row r="23" spans="1:2" x14ac:dyDescent="0.2">
      <c r="A23">
        <f t="shared" ref="A23:A38" si="2">+A22+1</f>
        <v>20</v>
      </c>
      <c r="B23" s="8">
        <f t="shared" si="1"/>
        <v>209000</v>
      </c>
    </row>
    <row r="24" spans="1:2" x14ac:dyDescent="0.2">
      <c r="A24">
        <f t="shared" si="2"/>
        <v>21</v>
      </c>
      <c r="B24" s="8">
        <f t="shared" si="1"/>
        <v>230000</v>
      </c>
    </row>
    <row r="25" spans="1:2" x14ac:dyDescent="0.2">
      <c r="A25">
        <f t="shared" si="2"/>
        <v>22</v>
      </c>
      <c r="B25" s="8">
        <f t="shared" si="1"/>
        <v>252000</v>
      </c>
    </row>
    <row r="26" spans="1:2" x14ac:dyDescent="0.2">
      <c r="A26">
        <f t="shared" si="2"/>
        <v>23</v>
      </c>
      <c r="B26" s="8">
        <f t="shared" si="1"/>
        <v>275000</v>
      </c>
    </row>
    <row r="27" spans="1:2" x14ac:dyDescent="0.2">
      <c r="A27">
        <f t="shared" si="2"/>
        <v>24</v>
      </c>
      <c r="B27" s="8">
        <f t="shared" si="1"/>
        <v>299000</v>
      </c>
    </row>
    <row r="28" spans="1:2" x14ac:dyDescent="0.2">
      <c r="A28">
        <f t="shared" si="2"/>
        <v>25</v>
      </c>
      <c r="B28" s="8">
        <f t="shared" si="1"/>
        <v>324000</v>
      </c>
    </row>
    <row r="29" spans="1:2" x14ac:dyDescent="0.2">
      <c r="A29">
        <f t="shared" si="2"/>
        <v>26</v>
      </c>
      <c r="B29" s="8">
        <f t="shared" si="1"/>
        <v>350000</v>
      </c>
    </row>
    <row r="30" spans="1:2" x14ac:dyDescent="0.2">
      <c r="A30">
        <f t="shared" si="2"/>
        <v>27</v>
      </c>
      <c r="B30" s="8">
        <f t="shared" si="1"/>
        <v>377000</v>
      </c>
    </row>
    <row r="31" spans="1:2" x14ac:dyDescent="0.2">
      <c r="A31">
        <f t="shared" si="2"/>
        <v>28</v>
      </c>
      <c r="B31" s="8">
        <f t="shared" si="1"/>
        <v>405000</v>
      </c>
    </row>
    <row r="32" spans="1:2" x14ac:dyDescent="0.2">
      <c r="A32">
        <f t="shared" si="2"/>
        <v>29</v>
      </c>
      <c r="B32" s="8">
        <f t="shared" si="1"/>
        <v>434000</v>
      </c>
    </row>
    <row r="33" spans="1:2" x14ac:dyDescent="0.2">
      <c r="A33">
        <f t="shared" si="2"/>
        <v>30</v>
      </c>
      <c r="B33" s="8">
        <f t="shared" si="1"/>
        <v>464000</v>
      </c>
    </row>
    <row r="34" spans="1:2" x14ac:dyDescent="0.2">
      <c r="A34">
        <f t="shared" si="2"/>
        <v>31</v>
      </c>
      <c r="B34" s="8">
        <f t="shared" si="1"/>
        <v>495000</v>
      </c>
    </row>
    <row r="35" spans="1:2" x14ac:dyDescent="0.2">
      <c r="A35">
        <f t="shared" si="2"/>
        <v>32</v>
      </c>
      <c r="B35" s="8">
        <f t="shared" si="1"/>
        <v>527000</v>
      </c>
    </row>
    <row r="36" spans="1:2" x14ac:dyDescent="0.2">
      <c r="A36">
        <f t="shared" si="2"/>
        <v>33</v>
      </c>
      <c r="B36" s="8">
        <f t="shared" si="1"/>
        <v>560000</v>
      </c>
    </row>
    <row r="37" spans="1:2" x14ac:dyDescent="0.2">
      <c r="A37">
        <f t="shared" si="2"/>
        <v>34</v>
      </c>
      <c r="B37" s="8">
        <f t="shared" si="1"/>
        <v>594000</v>
      </c>
    </row>
    <row r="38" spans="1:2" x14ac:dyDescent="0.2">
      <c r="A38">
        <f t="shared" si="2"/>
        <v>35</v>
      </c>
      <c r="B38" s="8">
        <f t="shared" si="1"/>
        <v>629000</v>
      </c>
    </row>
    <row r="39" spans="1:2" x14ac:dyDescent="0.2">
      <c r="A39">
        <f t="shared" ref="A39:A53" si="3">+A38+1</f>
        <v>36</v>
      </c>
      <c r="B39" s="8">
        <f t="shared" ref="B39:B53" si="4">+A39*$E$2+B38</f>
        <v>665000</v>
      </c>
    </row>
    <row r="40" spans="1:2" x14ac:dyDescent="0.2">
      <c r="A40">
        <f t="shared" si="3"/>
        <v>37</v>
      </c>
      <c r="B40" s="8">
        <f t="shared" si="4"/>
        <v>702000</v>
      </c>
    </row>
    <row r="41" spans="1:2" x14ac:dyDescent="0.2">
      <c r="A41">
        <f t="shared" si="3"/>
        <v>38</v>
      </c>
      <c r="B41" s="8">
        <f t="shared" si="4"/>
        <v>740000</v>
      </c>
    </row>
    <row r="42" spans="1:2" x14ac:dyDescent="0.2">
      <c r="A42">
        <f t="shared" si="3"/>
        <v>39</v>
      </c>
      <c r="B42" s="8">
        <f t="shared" si="4"/>
        <v>779000</v>
      </c>
    </row>
    <row r="43" spans="1:2" x14ac:dyDescent="0.2">
      <c r="A43">
        <f t="shared" si="3"/>
        <v>40</v>
      </c>
      <c r="B43" s="8">
        <f t="shared" si="4"/>
        <v>819000</v>
      </c>
    </row>
    <row r="44" spans="1:2" x14ac:dyDescent="0.2">
      <c r="A44">
        <f t="shared" si="3"/>
        <v>41</v>
      </c>
      <c r="B44" s="8">
        <f t="shared" si="4"/>
        <v>860000</v>
      </c>
    </row>
    <row r="45" spans="1:2" x14ac:dyDescent="0.2">
      <c r="A45">
        <f t="shared" si="3"/>
        <v>42</v>
      </c>
      <c r="B45" s="8">
        <f t="shared" si="4"/>
        <v>902000</v>
      </c>
    </row>
    <row r="46" spans="1:2" x14ac:dyDescent="0.2">
      <c r="A46">
        <f t="shared" si="3"/>
        <v>43</v>
      </c>
      <c r="B46" s="8">
        <f t="shared" si="4"/>
        <v>945000</v>
      </c>
    </row>
    <row r="47" spans="1:2" x14ac:dyDescent="0.2">
      <c r="A47">
        <f t="shared" si="3"/>
        <v>44</v>
      </c>
      <c r="B47" s="8">
        <f t="shared" si="4"/>
        <v>989000</v>
      </c>
    </row>
    <row r="48" spans="1:2" x14ac:dyDescent="0.2">
      <c r="A48">
        <f t="shared" si="3"/>
        <v>45</v>
      </c>
      <c r="B48" s="8">
        <f t="shared" si="4"/>
        <v>1034000</v>
      </c>
    </row>
    <row r="49" spans="1:2" x14ac:dyDescent="0.2">
      <c r="A49">
        <f t="shared" si="3"/>
        <v>46</v>
      </c>
      <c r="B49" s="8">
        <f t="shared" si="4"/>
        <v>1080000</v>
      </c>
    </row>
    <row r="50" spans="1:2" x14ac:dyDescent="0.2">
      <c r="A50">
        <f t="shared" si="3"/>
        <v>47</v>
      </c>
      <c r="B50" s="8">
        <f t="shared" si="4"/>
        <v>1127000</v>
      </c>
    </row>
    <row r="51" spans="1:2" x14ac:dyDescent="0.2">
      <c r="A51">
        <f t="shared" si="3"/>
        <v>48</v>
      </c>
      <c r="B51" s="8">
        <f t="shared" si="4"/>
        <v>1175000</v>
      </c>
    </row>
    <row r="52" spans="1:2" x14ac:dyDescent="0.2">
      <c r="A52">
        <f t="shared" si="3"/>
        <v>49</v>
      </c>
      <c r="B52" s="8">
        <f t="shared" si="4"/>
        <v>1224000</v>
      </c>
    </row>
    <row r="53" spans="1:2" x14ac:dyDescent="0.2">
      <c r="A53">
        <f t="shared" si="3"/>
        <v>50</v>
      </c>
      <c r="B53" s="8">
        <f t="shared" si="4"/>
        <v>1274000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HitPoints</vt:lpstr>
      <vt:lpstr>Level Xp</vt:lpstr>
    </vt:vector>
  </TitlesOfParts>
  <Company>Mecklenburg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Bryanty</dc:creator>
  <cp:lastModifiedBy>Steve B</cp:lastModifiedBy>
  <dcterms:created xsi:type="dcterms:W3CDTF">2003-07-08T19:21:50Z</dcterms:created>
  <dcterms:modified xsi:type="dcterms:W3CDTF">2025-12-21T01:51:42Z</dcterms:modified>
</cp:coreProperties>
</file>