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HolyQuestGo\Doc\Spreadsheets\"/>
    </mc:Choice>
  </mc:AlternateContent>
  <xr:revisionPtr revIDLastSave="0" documentId="8_{8C6F85C2-4F2D-4F2A-8DE5-8C3A6B4BF1BB}" xr6:coauthVersionLast="47" xr6:coauthVersionMax="47" xr10:uidLastSave="{00000000-0000-0000-0000-000000000000}"/>
  <bookViews>
    <workbookView xWindow="-120" yWindow="-120" windowWidth="29040" windowHeight="15720" xr2:uid="{267CC3C7-1856-40EA-84D1-083D695CA4D7}"/>
  </bookViews>
  <sheets>
    <sheet name="Tic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A4" i="1" s="1"/>
  <c r="B5" i="1"/>
  <c r="I5" i="1" s="1"/>
  <c r="A5" i="1" s="1"/>
  <c r="B6" i="1" l="1"/>
  <c r="I6" i="1" l="1"/>
  <c r="A6" i="1" s="1"/>
  <c r="B7" i="1"/>
  <c r="B8" i="1" l="1"/>
  <c r="I7" i="1"/>
  <c r="A7" i="1" s="1"/>
  <c r="I8" i="1" l="1"/>
  <c r="A8" i="1" s="1"/>
  <c r="B9" i="1"/>
  <c r="I9" i="1" l="1"/>
  <c r="A9" i="1" s="1"/>
  <c r="B10" i="1"/>
  <c r="I10" i="1" l="1"/>
  <c r="A10" i="1" s="1"/>
  <c r="B11" i="1"/>
  <c r="B12" i="1" l="1"/>
  <c r="I11" i="1"/>
  <c r="A11" i="1" s="1"/>
  <c r="I12" i="1" l="1"/>
  <c r="A12" i="1" s="1"/>
  <c r="B13" i="1"/>
  <c r="I13" i="1" l="1"/>
  <c r="A13" i="1" s="1"/>
  <c r="B14" i="1"/>
  <c r="I14" i="1" l="1"/>
  <c r="A14" i="1" s="1"/>
  <c r="B15" i="1"/>
  <c r="B16" i="1" l="1"/>
  <c r="I15" i="1"/>
  <c r="A15" i="1" s="1"/>
  <c r="I16" i="1" l="1"/>
  <c r="A16" i="1" s="1"/>
  <c r="B17" i="1"/>
  <c r="I17" i="1" l="1"/>
  <c r="A17" i="1" s="1"/>
  <c r="B18" i="1"/>
  <c r="I18" i="1" l="1"/>
  <c r="A18" i="1" s="1"/>
  <c r="B19" i="1"/>
  <c r="B20" i="1" l="1"/>
  <c r="I19" i="1"/>
  <c r="A19" i="1" s="1"/>
  <c r="I20" i="1" l="1"/>
  <c r="A20" i="1" s="1"/>
  <c r="B21" i="1"/>
  <c r="I21" i="1" l="1"/>
  <c r="A21" i="1" s="1"/>
  <c r="B22" i="1"/>
  <c r="I22" i="1" l="1"/>
  <c r="A22" i="1" s="1"/>
  <c r="B23" i="1"/>
  <c r="B24" i="1" l="1"/>
  <c r="I23" i="1"/>
  <c r="A23" i="1" s="1"/>
  <c r="I24" i="1" l="1"/>
  <c r="A24" i="1" s="1"/>
  <c r="B25" i="1"/>
  <c r="I25" i="1" l="1"/>
  <c r="A25" i="1" s="1"/>
  <c r="B26" i="1"/>
  <c r="I26" i="1" l="1"/>
  <c r="A26" i="1" s="1"/>
  <c r="B27" i="1"/>
  <c r="B28" i="1" l="1"/>
  <c r="I27" i="1"/>
  <c r="A27" i="1" s="1"/>
  <c r="I28" i="1" l="1"/>
  <c r="A28" i="1" s="1"/>
  <c r="B29" i="1"/>
  <c r="I29" i="1" l="1"/>
  <c r="A29" i="1" s="1"/>
  <c r="B30" i="1"/>
  <c r="I30" i="1" l="1"/>
  <c r="A30" i="1" s="1"/>
  <c r="B31" i="1"/>
  <c r="B32" i="1" l="1"/>
  <c r="I31" i="1"/>
  <c r="A31" i="1" s="1"/>
  <c r="I32" i="1" l="1"/>
  <c r="A32" i="1" s="1"/>
  <c r="B33" i="1"/>
  <c r="I33" i="1" l="1"/>
  <c r="A33" i="1" s="1"/>
  <c r="B34" i="1"/>
  <c r="I34" i="1" l="1"/>
  <c r="A34" i="1" s="1"/>
  <c r="B35" i="1"/>
  <c r="B36" i="1" l="1"/>
  <c r="I35" i="1"/>
  <c r="A35" i="1" s="1"/>
  <c r="I36" i="1" l="1"/>
  <c r="A36" i="1" s="1"/>
  <c r="B37" i="1"/>
  <c r="I37" i="1" l="1"/>
  <c r="A37" i="1" s="1"/>
  <c r="B38" i="1"/>
  <c r="I38" i="1" l="1"/>
  <c r="A38" i="1" s="1"/>
  <c r="B39" i="1"/>
  <c r="B40" i="1" l="1"/>
  <c r="I39" i="1"/>
  <c r="A39" i="1" s="1"/>
  <c r="I40" i="1" l="1"/>
  <c r="A40" i="1" s="1"/>
  <c r="B41" i="1"/>
  <c r="I41" i="1" l="1"/>
  <c r="A41" i="1" s="1"/>
  <c r="B42" i="1"/>
  <c r="I42" i="1" l="1"/>
  <c r="A42" i="1" s="1"/>
  <c r="B43" i="1"/>
  <c r="B44" i="1" l="1"/>
  <c r="I43" i="1"/>
  <c r="A43" i="1" s="1"/>
  <c r="I44" i="1" l="1"/>
  <c r="A44" i="1" s="1"/>
  <c r="B45" i="1"/>
  <c r="I45" i="1" l="1"/>
  <c r="A45" i="1" s="1"/>
  <c r="B46" i="1"/>
  <c r="I46" i="1" l="1"/>
  <c r="A46" i="1" s="1"/>
  <c r="B47" i="1"/>
  <c r="B48" i="1" l="1"/>
  <c r="I47" i="1"/>
  <c r="A47" i="1" s="1"/>
  <c r="I48" i="1" l="1"/>
  <c r="A48" i="1" s="1"/>
  <c r="B49" i="1"/>
  <c r="I49" i="1" l="1"/>
  <c r="A49" i="1" s="1"/>
  <c r="B50" i="1"/>
  <c r="I50" i="1" l="1"/>
  <c r="A50" i="1" s="1"/>
  <c r="B51" i="1"/>
  <c r="B52" i="1" l="1"/>
  <c r="I51" i="1"/>
  <c r="A51" i="1" s="1"/>
  <c r="I52" i="1" l="1"/>
  <c r="A52" i="1" s="1"/>
  <c r="B53" i="1"/>
  <c r="I53" i="1" l="1"/>
  <c r="A53" i="1" s="1"/>
  <c r="B54" i="1"/>
  <c r="I54" i="1" l="1"/>
  <c r="A54" i="1" s="1"/>
  <c r="B55" i="1"/>
  <c r="B56" i="1" l="1"/>
  <c r="I55" i="1"/>
  <c r="A55" i="1" s="1"/>
  <c r="I56" i="1" l="1"/>
  <c r="A56" i="1" s="1"/>
  <c r="B57" i="1"/>
  <c r="I57" i="1" l="1"/>
  <c r="A57" i="1" s="1"/>
  <c r="B58" i="1"/>
  <c r="I58" i="1" l="1"/>
  <c r="A58" i="1" s="1"/>
  <c r="B59" i="1"/>
  <c r="B60" i="1" l="1"/>
  <c r="I59" i="1"/>
  <c r="A59" i="1" s="1"/>
  <c r="I60" i="1" l="1"/>
  <c r="A60" i="1" s="1"/>
  <c r="B61" i="1"/>
  <c r="I61" i="1" l="1"/>
  <c r="A61" i="1" s="1"/>
  <c r="B62" i="1"/>
  <c r="I62" i="1" l="1"/>
  <c r="A62" i="1" s="1"/>
  <c r="B63" i="1"/>
  <c r="B64" i="1" l="1"/>
  <c r="C63" i="1"/>
  <c r="I63" i="1"/>
  <c r="A63" i="1" s="1"/>
  <c r="C64" i="1" l="1"/>
  <c r="I64" i="1"/>
  <c r="A64" i="1" s="1"/>
  <c r="B65" i="1"/>
  <c r="C65" i="1" l="1"/>
  <c r="I65" i="1"/>
  <c r="A65" i="1" s="1"/>
  <c r="B66" i="1"/>
  <c r="B67" i="1" l="1"/>
  <c r="C66" i="1"/>
  <c r="I66" i="1"/>
  <c r="A66" i="1" s="1"/>
  <c r="C67" i="1" l="1"/>
  <c r="I67" i="1"/>
  <c r="A67" i="1" s="1"/>
  <c r="B68" i="1"/>
  <c r="I68" i="1" l="1"/>
  <c r="A68" i="1" s="1"/>
  <c r="C68" i="1"/>
  <c r="B69" i="1"/>
  <c r="B70" i="1" l="1"/>
  <c r="C69" i="1"/>
  <c r="I69" i="1"/>
  <c r="A69" i="1" s="1"/>
  <c r="C70" i="1" l="1"/>
  <c r="I70" i="1"/>
  <c r="A70" i="1" s="1"/>
  <c r="B71" i="1"/>
  <c r="I71" i="1" l="1"/>
  <c r="A71" i="1" s="1"/>
  <c r="C71" i="1"/>
  <c r="B72" i="1"/>
  <c r="B73" i="1" l="1"/>
  <c r="C72" i="1"/>
  <c r="I72" i="1"/>
  <c r="A72" i="1" s="1"/>
  <c r="C73" i="1" l="1"/>
  <c r="I73" i="1"/>
  <c r="A73" i="1" s="1"/>
  <c r="B74" i="1"/>
  <c r="I74" i="1" l="1"/>
  <c r="A74" i="1" s="1"/>
  <c r="C74" i="1"/>
  <c r="B75" i="1"/>
  <c r="B76" i="1" l="1"/>
  <c r="C75" i="1"/>
  <c r="I75" i="1"/>
  <c r="A75" i="1" s="1"/>
  <c r="C76" i="1" l="1"/>
  <c r="I76" i="1"/>
  <c r="A76" i="1" s="1"/>
  <c r="B77" i="1"/>
  <c r="I77" i="1" l="1"/>
  <c r="A77" i="1" s="1"/>
  <c r="C77" i="1"/>
  <c r="D77" i="1" s="1"/>
  <c r="B78" i="1"/>
  <c r="I78" i="1" l="1"/>
  <c r="A78" i="1" s="1"/>
  <c r="B79" i="1"/>
  <c r="C78" i="1"/>
  <c r="D78" i="1" s="1"/>
  <c r="B80" i="1" l="1"/>
  <c r="C79" i="1"/>
  <c r="D79" i="1" s="1"/>
  <c r="I79" i="1"/>
  <c r="A79" i="1" s="1"/>
  <c r="B81" i="1" l="1"/>
  <c r="C80" i="1"/>
  <c r="D80" i="1" s="1"/>
  <c r="I80" i="1"/>
  <c r="A80" i="1" s="1"/>
  <c r="C81" i="1" l="1"/>
  <c r="D81" i="1" s="1"/>
  <c r="I81" i="1"/>
  <c r="A81" i="1" s="1"/>
  <c r="B82" i="1"/>
  <c r="C82" i="1" l="1"/>
  <c r="D82" i="1" s="1"/>
  <c r="I82" i="1"/>
  <c r="A82" i="1" s="1"/>
  <c r="B83" i="1"/>
  <c r="C83" i="1" l="1"/>
  <c r="D83" i="1" s="1"/>
  <c r="I83" i="1"/>
  <c r="A83" i="1" s="1"/>
  <c r="B84" i="1"/>
  <c r="C84" i="1" l="1"/>
  <c r="D84" i="1" s="1"/>
  <c r="I84" i="1"/>
  <c r="A84" i="1" s="1"/>
  <c r="B85" i="1"/>
  <c r="I85" i="1" l="1"/>
  <c r="A85" i="1" s="1"/>
  <c r="B86" i="1"/>
  <c r="C85" i="1"/>
  <c r="D85" i="1" s="1"/>
  <c r="C86" i="1" l="1"/>
  <c r="D86" i="1" s="1"/>
  <c r="B87" i="1"/>
  <c r="I86" i="1"/>
  <c r="A86" i="1" s="1"/>
  <c r="B88" i="1" l="1"/>
  <c r="C87" i="1"/>
  <c r="D87" i="1" s="1"/>
  <c r="I87" i="1"/>
  <c r="A87" i="1" s="1"/>
  <c r="C88" i="1" l="1"/>
  <c r="D88" i="1" s="1"/>
  <c r="I88" i="1"/>
  <c r="A88" i="1" s="1"/>
  <c r="B89" i="1"/>
  <c r="C89" i="1" l="1"/>
  <c r="D89" i="1" s="1"/>
  <c r="E89" i="1" s="1"/>
  <c r="I89" i="1"/>
  <c r="A89" i="1" s="1"/>
  <c r="B99" i="1"/>
  <c r="B90" i="1"/>
  <c r="C90" i="1" l="1"/>
  <c r="D90" i="1" s="1"/>
  <c r="E90" i="1" s="1"/>
  <c r="I90" i="1"/>
  <c r="A90" i="1" s="1"/>
  <c r="B91" i="1"/>
  <c r="I99" i="1"/>
  <c r="A99" i="1" s="1"/>
  <c r="B100" i="1"/>
  <c r="C99" i="1"/>
  <c r="D99" i="1" s="1"/>
  <c r="E99" i="1" s="1"/>
  <c r="F99" i="1" l="1"/>
  <c r="G99" i="1"/>
  <c r="B101" i="1"/>
  <c r="C100" i="1"/>
  <c r="D100" i="1" s="1"/>
  <c r="E100" i="1" s="1"/>
  <c r="I100" i="1"/>
  <c r="A100" i="1" s="1"/>
  <c r="C91" i="1"/>
  <c r="D91" i="1" s="1"/>
  <c r="E91" i="1" s="1"/>
  <c r="I91" i="1"/>
  <c r="A91" i="1" s="1"/>
  <c r="B92" i="1"/>
  <c r="C92" i="1" l="1"/>
  <c r="D92" i="1" s="1"/>
  <c r="E92" i="1" s="1"/>
  <c r="I92" i="1"/>
  <c r="A92" i="1" s="1"/>
  <c r="B93" i="1"/>
  <c r="F100" i="1"/>
  <c r="G100" i="1"/>
  <c r="C101" i="1"/>
  <c r="D101" i="1" s="1"/>
  <c r="E101" i="1" s="1"/>
  <c r="I101" i="1"/>
  <c r="A101" i="1" s="1"/>
  <c r="B102" i="1"/>
  <c r="I102" i="1" l="1"/>
  <c r="A102" i="1" s="1"/>
  <c r="B103" i="1"/>
  <c r="C102" i="1"/>
  <c r="D102" i="1" s="1"/>
  <c r="E102" i="1" s="1"/>
  <c r="G101" i="1"/>
  <c r="F101" i="1"/>
  <c r="C93" i="1"/>
  <c r="D93" i="1" s="1"/>
  <c r="E93" i="1" s="1"/>
  <c r="I93" i="1"/>
  <c r="A93" i="1" s="1"/>
  <c r="B94" i="1"/>
  <c r="C94" i="1" l="1"/>
  <c r="D94" i="1" s="1"/>
  <c r="E94" i="1" s="1"/>
  <c r="I94" i="1"/>
  <c r="A94" i="1" s="1"/>
  <c r="B95" i="1"/>
  <c r="F102" i="1"/>
  <c r="G102" i="1"/>
  <c r="B104" i="1"/>
  <c r="C103" i="1"/>
  <c r="D103" i="1" s="1"/>
  <c r="E103" i="1" s="1"/>
  <c r="I103" i="1"/>
  <c r="A103" i="1" s="1"/>
  <c r="F103" i="1" l="1"/>
  <c r="G103" i="1"/>
  <c r="C104" i="1"/>
  <c r="D104" i="1" s="1"/>
  <c r="E104" i="1" s="1"/>
  <c r="B105" i="1"/>
  <c r="I104" i="1"/>
  <c r="A104" i="1" s="1"/>
  <c r="B96" i="1"/>
  <c r="C95" i="1"/>
  <c r="D95" i="1" s="1"/>
  <c r="E95" i="1" s="1"/>
  <c r="F95" i="1" s="1"/>
  <c r="I95" i="1"/>
  <c r="A95" i="1" s="1"/>
  <c r="C96" i="1" l="1"/>
  <c r="D96" i="1" s="1"/>
  <c r="E96" i="1" s="1"/>
  <c r="F96" i="1" s="1"/>
  <c r="B97" i="1"/>
  <c r="I96" i="1"/>
  <c r="A96" i="1" s="1"/>
  <c r="B106" i="1"/>
  <c r="I105" i="1"/>
  <c r="A105" i="1" s="1"/>
  <c r="C105" i="1"/>
  <c r="D105" i="1" s="1"/>
  <c r="E105" i="1" s="1"/>
  <c r="F104" i="1"/>
  <c r="G104" i="1"/>
  <c r="F105" i="1" l="1"/>
  <c r="G105" i="1"/>
  <c r="B107" i="1"/>
  <c r="C106" i="1"/>
  <c r="D106" i="1" s="1"/>
  <c r="E106" i="1" s="1"/>
  <c r="I106" i="1"/>
  <c r="A106" i="1" s="1"/>
  <c r="I97" i="1"/>
  <c r="A97" i="1" s="1"/>
  <c r="C97" i="1"/>
  <c r="D97" i="1" s="1"/>
  <c r="E97" i="1" s="1"/>
  <c r="F97" i="1" s="1"/>
  <c r="B98" i="1"/>
  <c r="C98" i="1" l="1"/>
  <c r="D98" i="1" s="1"/>
  <c r="E98" i="1" s="1"/>
  <c r="F98" i="1" s="1"/>
  <c r="I98" i="1"/>
  <c r="A98" i="1" s="1"/>
  <c r="F106" i="1"/>
  <c r="G106" i="1"/>
  <c r="C107" i="1"/>
  <c r="D107" i="1" s="1"/>
  <c r="E107" i="1" s="1"/>
  <c r="I107" i="1"/>
  <c r="A107" i="1" s="1"/>
  <c r="B108" i="1"/>
  <c r="I108" i="1" l="1"/>
  <c r="A108" i="1" s="1"/>
  <c r="B109" i="1"/>
  <c r="C108" i="1"/>
  <c r="D108" i="1" s="1"/>
  <c r="E108" i="1" s="1"/>
  <c r="F107" i="1"/>
  <c r="G107" i="1"/>
  <c r="F108" i="1" l="1"/>
  <c r="G108" i="1"/>
  <c r="B110" i="1"/>
  <c r="C109" i="1"/>
  <c r="D109" i="1" s="1"/>
  <c r="E109" i="1" s="1"/>
  <c r="I109" i="1"/>
  <c r="A109" i="1" s="1"/>
  <c r="F109" i="1" l="1"/>
  <c r="G109" i="1"/>
  <c r="C110" i="1"/>
  <c r="D110" i="1" s="1"/>
  <c r="E110" i="1" s="1"/>
  <c r="I110" i="1"/>
  <c r="A110" i="1" s="1"/>
  <c r="G110" i="1" l="1"/>
  <c r="H110" i="1" s="1"/>
  <c r="F110" i="1"/>
</calcChain>
</file>

<file path=xl/sharedStrings.xml><?xml version="1.0" encoding="utf-8"?>
<sst xmlns="http://schemas.openxmlformats.org/spreadsheetml/2006/main" count="12" uniqueCount="11">
  <si>
    <t>Ticks</t>
  </si>
  <si>
    <t>Seconds</t>
  </si>
  <si>
    <t>Minutes</t>
  </si>
  <si>
    <t>Hours</t>
  </si>
  <si>
    <t>Days</t>
  </si>
  <si>
    <t>Weeks</t>
  </si>
  <si>
    <t>Years</t>
  </si>
  <si>
    <t>MilliSeconds</t>
  </si>
  <si>
    <t>Tick =</t>
  </si>
  <si>
    <t>Tick and Time Conversion Chart</t>
  </si>
  <si>
    <t>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</si>
</sst>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0" fillId="0" borderId="0" xfId="0" applyNumberFormat="1"/>
    <xf numFmtId="3" fontId="2" fillId="0" borderId="0" xfId="0" applyNumberFormat="1" applyFont="1"/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left"/>
    </xf>
    <xf numFmtId="3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A6BEB-76BF-4DAE-A8DD-9F35535ED857}">
  <dimension ref="A1:I110"/>
  <sheetViews>
    <sheetView tabSelected="1" workbookViewId="0">
      <pane ySplit="3" topLeftCell="A4" activePane="bottomLeft" state="frozen"/>
      <selection pane="bottomLeft" activeCell="A34" sqref="A34"/>
    </sheetView>
  </sheetViews>
  <sheetFormatPr defaultRowHeight="12.75" x14ac:dyDescent="0.2"/>
  <cols>
    <col min="1" max="2" width="11.7109375" style="3" customWidth="1"/>
    <col min="3" max="3" width="9" style="3" customWidth="1"/>
    <col min="4" max="4" width="7.28515625" style="3" customWidth="1"/>
    <col min="5" max="5" width="5.42578125" style="3" customWidth="1"/>
    <col min="6" max="6" width="6.7109375" style="3" customWidth="1"/>
    <col min="7" max="7" width="7.85546875" style="3" customWidth="1"/>
    <col min="8" max="8" width="5.85546875" style="3" customWidth="1"/>
    <col min="9" max="9" width="15" customWidth="1"/>
  </cols>
  <sheetData>
    <row r="1" spans="1:9" ht="18" x14ac:dyDescent="0.25">
      <c r="A1" s="4" t="s">
        <v>9</v>
      </c>
      <c r="F1" s="5" t="s">
        <v>8</v>
      </c>
      <c r="G1" s="6">
        <v>100</v>
      </c>
      <c r="H1" s="7" t="s">
        <v>7</v>
      </c>
    </row>
    <row r="3" spans="1:9" x14ac:dyDescent="0.2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1" t="s">
        <v>6</v>
      </c>
      <c r="I3" s="2" t="s">
        <v>7</v>
      </c>
    </row>
    <row r="4" spans="1:9" x14ac:dyDescent="0.2">
      <c r="A4" s="3">
        <f t="shared" ref="A4:A80" si="0">+I4/$G$1</f>
        <v>10</v>
      </c>
      <c r="B4" s="8">
        <v>1</v>
      </c>
      <c r="H4"/>
      <c r="I4" s="8">
        <f t="shared" ref="I4:I80" si="1">+B4*1000</f>
        <v>1000</v>
      </c>
    </row>
    <row r="5" spans="1:9" x14ac:dyDescent="0.2">
      <c r="A5" s="3">
        <f t="shared" si="0"/>
        <v>20</v>
      </c>
      <c r="B5" s="3">
        <f>+B4+1</f>
        <v>2</v>
      </c>
      <c r="H5"/>
      <c r="I5" s="3">
        <f t="shared" si="1"/>
        <v>2000</v>
      </c>
    </row>
    <row r="6" spans="1:9" x14ac:dyDescent="0.2">
      <c r="A6" s="3">
        <f t="shared" si="0"/>
        <v>30</v>
      </c>
      <c r="B6" s="3">
        <f t="shared" ref="B6:B12" si="2">+B5+1</f>
        <v>3</v>
      </c>
      <c r="H6"/>
      <c r="I6" s="3">
        <f t="shared" si="1"/>
        <v>3000</v>
      </c>
    </row>
    <row r="7" spans="1:9" x14ac:dyDescent="0.2">
      <c r="A7" s="3">
        <f t="shared" si="0"/>
        <v>40</v>
      </c>
      <c r="B7" s="3">
        <f t="shared" si="2"/>
        <v>4</v>
      </c>
      <c r="H7"/>
      <c r="I7" s="3">
        <f t="shared" si="1"/>
        <v>4000</v>
      </c>
    </row>
    <row r="8" spans="1:9" x14ac:dyDescent="0.2">
      <c r="A8" s="3">
        <f t="shared" si="0"/>
        <v>50</v>
      </c>
      <c r="B8" s="3">
        <f t="shared" si="2"/>
        <v>5</v>
      </c>
      <c r="H8"/>
      <c r="I8" s="3">
        <f t="shared" si="1"/>
        <v>5000</v>
      </c>
    </row>
    <row r="9" spans="1:9" x14ac:dyDescent="0.2">
      <c r="A9" s="3">
        <f t="shared" si="0"/>
        <v>60</v>
      </c>
      <c r="B9" s="3">
        <f t="shared" si="2"/>
        <v>6</v>
      </c>
      <c r="H9"/>
      <c r="I9" s="3">
        <f t="shared" si="1"/>
        <v>6000</v>
      </c>
    </row>
    <row r="10" spans="1:9" x14ac:dyDescent="0.2">
      <c r="A10" s="3">
        <f t="shared" si="0"/>
        <v>70</v>
      </c>
      <c r="B10" s="3">
        <f t="shared" si="2"/>
        <v>7</v>
      </c>
      <c r="H10"/>
      <c r="I10" s="3">
        <f t="shared" si="1"/>
        <v>7000</v>
      </c>
    </row>
    <row r="11" spans="1:9" x14ac:dyDescent="0.2">
      <c r="A11" s="3">
        <f t="shared" si="0"/>
        <v>80</v>
      </c>
      <c r="B11" s="3">
        <f t="shared" si="2"/>
        <v>8</v>
      </c>
      <c r="H11"/>
      <c r="I11" s="3">
        <f t="shared" si="1"/>
        <v>8000</v>
      </c>
    </row>
    <row r="12" spans="1:9" x14ac:dyDescent="0.2">
      <c r="A12" s="3">
        <f t="shared" si="0"/>
        <v>90</v>
      </c>
      <c r="B12" s="3">
        <f t="shared" si="2"/>
        <v>9</v>
      </c>
      <c r="H12"/>
      <c r="I12" s="3">
        <f t="shared" si="1"/>
        <v>9000</v>
      </c>
    </row>
    <row r="13" spans="1:9" x14ac:dyDescent="0.2">
      <c r="A13" s="3">
        <f t="shared" si="0"/>
        <v>100</v>
      </c>
      <c r="B13" s="3">
        <f>+B12+1</f>
        <v>10</v>
      </c>
      <c r="H13"/>
      <c r="I13" s="3">
        <f t="shared" si="1"/>
        <v>10000</v>
      </c>
    </row>
    <row r="14" spans="1:9" x14ac:dyDescent="0.2">
      <c r="A14" s="3">
        <f t="shared" si="0"/>
        <v>110</v>
      </c>
      <c r="B14" s="3">
        <f t="shared" ref="B14:B63" si="3">+B13+1</f>
        <v>11</v>
      </c>
      <c r="H14"/>
      <c r="I14" s="3">
        <f t="shared" si="1"/>
        <v>11000</v>
      </c>
    </row>
    <row r="15" spans="1:9" x14ac:dyDescent="0.2">
      <c r="A15" s="3">
        <f t="shared" si="0"/>
        <v>120</v>
      </c>
      <c r="B15" s="3">
        <f t="shared" si="3"/>
        <v>12</v>
      </c>
      <c r="H15"/>
      <c r="I15" s="3">
        <f t="shared" si="1"/>
        <v>12000</v>
      </c>
    </row>
    <row r="16" spans="1:9" x14ac:dyDescent="0.2">
      <c r="A16" s="3">
        <f t="shared" si="0"/>
        <v>130</v>
      </c>
      <c r="B16" s="3">
        <f t="shared" si="3"/>
        <v>13</v>
      </c>
      <c r="H16"/>
      <c r="I16" s="3">
        <f t="shared" si="1"/>
        <v>13000</v>
      </c>
    </row>
    <row r="17" spans="1:9" x14ac:dyDescent="0.2">
      <c r="A17" s="3">
        <f t="shared" si="0"/>
        <v>140</v>
      </c>
      <c r="B17" s="3">
        <f t="shared" si="3"/>
        <v>14</v>
      </c>
      <c r="H17"/>
      <c r="I17" s="3">
        <f t="shared" si="1"/>
        <v>14000</v>
      </c>
    </row>
    <row r="18" spans="1:9" x14ac:dyDescent="0.2">
      <c r="A18" s="3">
        <f t="shared" si="0"/>
        <v>150</v>
      </c>
      <c r="B18" s="3">
        <f t="shared" si="3"/>
        <v>15</v>
      </c>
      <c r="H18"/>
      <c r="I18" s="3">
        <f t="shared" si="1"/>
        <v>15000</v>
      </c>
    </row>
    <row r="19" spans="1:9" x14ac:dyDescent="0.2">
      <c r="A19" s="3">
        <f t="shared" si="0"/>
        <v>160</v>
      </c>
      <c r="B19" s="3">
        <f t="shared" si="3"/>
        <v>16</v>
      </c>
      <c r="H19"/>
      <c r="I19" s="3">
        <f t="shared" si="1"/>
        <v>16000</v>
      </c>
    </row>
    <row r="20" spans="1:9" x14ac:dyDescent="0.2">
      <c r="A20" s="3">
        <f t="shared" si="0"/>
        <v>170</v>
      </c>
      <c r="B20" s="3">
        <f t="shared" si="3"/>
        <v>17</v>
      </c>
      <c r="H20"/>
      <c r="I20" s="3">
        <f t="shared" si="1"/>
        <v>17000</v>
      </c>
    </row>
    <row r="21" spans="1:9" x14ac:dyDescent="0.2">
      <c r="A21" s="3">
        <f t="shared" si="0"/>
        <v>180</v>
      </c>
      <c r="B21" s="3">
        <f t="shared" si="3"/>
        <v>18</v>
      </c>
      <c r="H21"/>
      <c r="I21" s="3">
        <f t="shared" si="1"/>
        <v>18000</v>
      </c>
    </row>
    <row r="22" spans="1:9" x14ac:dyDescent="0.2">
      <c r="A22" s="3">
        <f t="shared" si="0"/>
        <v>190</v>
      </c>
      <c r="B22" s="3">
        <f t="shared" si="3"/>
        <v>19</v>
      </c>
      <c r="H22"/>
      <c r="I22" s="3">
        <f t="shared" si="1"/>
        <v>19000</v>
      </c>
    </row>
    <row r="23" spans="1:9" x14ac:dyDescent="0.2">
      <c r="A23" s="3">
        <f t="shared" si="0"/>
        <v>200</v>
      </c>
      <c r="B23" s="3">
        <f t="shared" si="3"/>
        <v>20</v>
      </c>
      <c r="H23"/>
      <c r="I23" s="3">
        <f t="shared" si="1"/>
        <v>20000</v>
      </c>
    </row>
    <row r="24" spans="1:9" x14ac:dyDescent="0.2">
      <c r="A24" s="3">
        <f t="shared" si="0"/>
        <v>210</v>
      </c>
      <c r="B24" s="3">
        <f t="shared" si="3"/>
        <v>21</v>
      </c>
      <c r="H24"/>
      <c r="I24" s="3">
        <f t="shared" si="1"/>
        <v>21000</v>
      </c>
    </row>
    <row r="25" spans="1:9" x14ac:dyDescent="0.2">
      <c r="A25" s="3">
        <f t="shared" si="0"/>
        <v>220</v>
      </c>
      <c r="B25" s="3">
        <f t="shared" si="3"/>
        <v>22</v>
      </c>
      <c r="H25"/>
      <c r="I25" s="3">
        <f t="shared" si="1"/>
        <v>22000</v>
      </c>
    </row>
    <row r="26" spans="1:9" x14ac:dyDescent="0.2">
      <c r="A26" s="3">
        <f t="shared" si="0"/>
        <v>230</v>
      </c>
      <c r="B26" s="3">
        <f t="shared" si="3"/>
        <v>23</v>
      </c>
      <c r="H26"/>
      <c r="I26" s="3">
        <f t="shared" si="1"/>
        <v>23000</v>
      </c>
    </row>
    <row r="27" spans="1:9" x14ac:dyDescent="0.2">
      <c r="A27" s="3">
        <f t="shared" si="0"/>
        <v>240</v>
      </c>
      <c r="B27" s="3">
        <f t="shared" si="3"/>
        <v>24</v>
      </c>
      <c r="H27"/>
      <c r="I27" s="3">
        <f t="shared" si="1"/>
        <v>24000</v>
      </c>
    </row>
    <row r="28" spans="1:9" x14ac:dyDescent="0.2">
      <c r="A28" s="3">
        <f t="shared" si="0"/>
        <v>250</v>
      </c>
      <c r="B28" s="3">
        <f t="shared" si="3"/>
        <v>25</v>
      </c>
      <c r="H28"/>
      <c r="I28" s="3">
        <f t="shared" si="1"/>
        <v>25000</v>
      </c>
    </row>
    <row r="29" spans="1:9" x14ac:dyDescent="0.2">
      <c r="A29" s="3">
        <f t="shared" si="0"/>
        <v>260</v>
      </c>
      <c r="B29" s="3">
        <f t="shared" si="3"/>
        <v>26</v>
      </c>
      <c r="H29"/>
      <c r="I29" s="3">
        <f t="shared" si="1"/>
        <v>26000</v>
      </c>
    </row>
    <row r="30" spans="1:9" x14ac:dyDescent="0.2">
      <c r="A30" s="3">
        <f t="shared" si="0"/>
        <v>270</v>
      </c>
      <c r="B30" s="3">
        <f t="shared" si="3"/>
        <v>27</v>
      </c>
      <c r="H30"/>
      <c r="I30" s="3">
        <f t="shared" si="1"/>
        <v>27000</v>
      </c>
    </row>
    <row r="31" spans="1:9" x14ac:dyDescent="0.2">
      <c r="A31" s="3">
        <f t="shared" si="0"/>
        <v>280</v>
      </c>
      <c r="B31" s="3">
        <f t="shared" si="3"/>
        <v>28</v>
      </c>
      <c r="H31"/>
      <c r="I31" s="3">
        <f t="shared" si="1"/>
        <v>28000</v>
      </c>
    </row>
    <row r="32" spans="1:9" x14ac:dyDescent="0.2">
      <c r="A32" s="3">
        <f t="shared" si="0"/>
        <v>290</v>
      </c>
      <c r="B32" s="3">
        <f t="shared" si="3"/>
        <v>29</v>
      </c>
      <c r="H32"/>
      <c r="I32" s="3">
        <f t="shared" si="1"/>
        <v>29000</v>
      </c>
    </row>
    <row r="33" spans="1:9" x14ac:dyDescent="0.2">
      <c r="A33" s="3">
        <f t="shared" si="0"/>
        <v>300</v>
      </c>
      <c r="B33" s="3">
        <f t="shared" si="3"/>
        <v>30</v>
      </c>
      <c r="H33"/>
      <c r="I33" s="3">
        <f t="shared" si="1"/>
        <v>30000</v>
      </c>
    </row>
    <row r="34" spans="1:9" x14ac:dyDescent="0.2">
      <c r="A34" s="3">
        <f t="shared" si="0"/>
        <v>310</v>
      </c>
      <c r="B34" s="3">
        <f t="shared" si="3"/>
        <v>31</v>
      </c>
      <c r="H34"/>
      <c r="I34" s="3">
        <f t="shared" si="1"/>
        <v>31000</v>
      </c>
    </row>
    <row r="35" spans="1:9" x14ac:dyDescent="0.2">
      <c r="A35" s="3">
        <f t="shared" si="0"/>
        <v>320</v>
      </c>
      <c r="B35" s="3">
        <f t="shared" si="3"/>
        <v>32</v>
      </c>
      <c r="H35"/>
      <c r="I35" s="3">
        <f t="shared" si="1"/>
        <v>32000</v>
      </c>
    </row>
    <row r="36" spans="1:9" x14ac:dyDescent="0.2">
      <c r="A36" s="3">
        <f t="shared" si="0"/>
        <v>330</v>
      </c>
      <c r="B36" s="3">
        <f t="shared" si="3"/>
        <v>33</v>
      </c>
      <c r="H36"/>
      <c r="I36" s="3">
        <f t="shared" si="1"/>
        <v>33000</v>
      </c>
    </row>
    <row r="37" spans="1:9" x14ac:dyDescent="0.2">
      <c r="A37" s="3">
        <f t="shared" si="0"/>
        <v>340</v>
      </c>
      <c r="B37" s="3">
        <f t="shared" si="3"/>
        <v>34</v>
      </c>
      <c r="H37"/>
      <c r="I37" s="3">
        <f t="shared" si="1"/>
        <v>34000</v>
      </c>
    </row>
    <row r="38" spans="1:9" x14ac:dyDescent="0.2">
      <c r="A38" s="3">
        <f t="shared" si="0"/>
        <v>350</v>
      </c>
      <c r="B38" s="3">
        <f t="shared" si="3"/>
        <v>35</v>
      </c>
      <c r="H38"/>
      <c r="I38" s="3">
        <f t="shared" si="1"/>
        <v>35000</v>
      </c>
    </row>
    <row r="39" spans="1:9" x14ac:dyDescent="0.2">
      <c r="A39" s="3">
        <f t="shared" si="0"/>
        <v>360</v>
      </c>
      <c r="B39" s="3">
        <f t="shared" si="3"/>
        <v>36</v>
      </c>
      <c r="H39"/>
      <c r="I39" s="3">
        <f t="shared" si="1"/>
        <v>36000</v>
      </c>
    </row>
    <row r="40" spans="1:9" x14ac:dyDescent="0.2">
      <c r="A40" s="3">
        <f t="shared" si="0"/>
        <v>370</v>
      </c>
      <c r="B40" s="3">
        <f t="shared" si="3"/>
        <v>37</v>
      </c>
      <c r="H40"/>
      <c r="I40" s="3">
        <f t="shared" si="1"/>
        <v>37000</v>
      </c>
    </row>
    <row r="41" spans="1:9" x14ac:dyDescent="0.2">
      <c r="A41" s="3">
        <f t="shared" si="0"/>
        <v>380</v>
      </c>
      <c r="B41" s="3">
        <f t="shared" si="3"/>
        <v>38</v>
      </c>
      <c r="H41"/>
      <c r="I41" s="3">
        <f t="shared" si="1"/>
        <v>38000</v>
      </c>
    </row>
    <row r="42" spans="1:9" x14ac:dyDescent="0.2">
      <c r="A42" s="3">
        <f t="shared" si="0"/>
        <v>390</v>
      </c>
      <c r="B42" s="3">
        <f t="shared" si="3"/>
        <v>39</v>
      </c>
      <c r="H42"/>
      <c r="I42" s="3">
        <f t="shared" si="1"/>
        <v>39000</v>
      </c>
    </row>
    <row r="43" spans="1:9" x14ac:dyDescent="0.2">
      <c r="A43" s="3">
        <f t="shared" si="0"/>
        <v>400</v>
      </c>
      <c r="B43" s="3">
        <f t="shared" si="3"/>
        <v>40</v>
      </c>
      <c r="H43"/>
      <c r="I43" s="3">
        <f t="shared" si="1"/>
        <v>40000</v>
      </c>
    </row>
    <row r="44" spans="1:9" x14ac:dyDescent="0.2">
      <c r="A44" s="3">
        <f t="shared" si="0"/>
        <v>410</v>
      </c>
      <c r="B44" s="3">
        <f t="shared" si="3"/>
        <v>41</v>
      </c>
      <c r="H44"/>
      <c r="I44" s="3">
        <f t="shared" si="1"/>
        <v>41000</v>
      </c>
    </row>
    <row r="45" spans="1:9" x14ac:dyDescent="0.2">
      <c r="A45" s="3">
        <f t="shared" si="0"/>
        <v>420</v>
      </c>
      <c r="B45" s="3">
        <f t="shared" si="3"/>
        <v>42</v>
      </c>
      <c r="H45"/>
      <c r="I45" s="3">
        <f t="shared" si="1"/>
        <v>42000</v>
      </c>
    </row>
    <row r="46" spans="1:9" x14ac:dyDescent="0.2">
      <c r="A46" s="3">
        <f t="shared" si="0"/>
        <v>430</v>
      </c>
      <c r="B46" s="3">
        <f t="shared" si="3"/>
        <v>43</v>
      </c>
      <c r="H46"/>
      <c r="I46" s="3">
        <f t="shared" si="1"/>
        <v>43000</v>
      </c>
    </row>
    <row r="47" spans="1:9" x14ac:dyDescent="0.2">
      <c r="A47" s="3">
        <f t="shared" si="0"/>
        <v>440</v>
      </c>
      <c r="B47" s="3">
        <f t="shared" si="3"/>
        <v>44</v>
      </c>
      <c r="H47"/>
      <c r="I47" s="3">
        <f t="shared" si="1"/>
        <v>44000</v>
      </c>
    </row>
    <row r="48" spans="1:9" x14ac:dyDescent="0.2">
      <c r="A48" s="3">
        <f t="shared" si="0"/>
        <v>450</v>
      </c>
      <c r="B48" s="3">
        <f t="shared" si="3"/>
        <v>45</v>
      </c>
      <c r="H48"/>
      <c r="I48" s="3">
        <f t="shared" si="1"/>
        <v>45000</v>
      </c>
    </row>
    <row r="49" spans="1:9" x14ac:dyDescent="0.2">
      <c r="A49" s="3">
        <f t="shared" si="0"/>
        <v>460</v>
      </c>
      <c r="B49" s="3">
        <f t="shared" si="3"/>
        <v>46</v>
      </c>
      <c r="H49"/>
      <c r="I49" s="3">
        <f t="shared" si="1"/>
        <v>46000</v>
      </c>
    </row>
    <row r="50" spans="1:9" x14ac:dyDescent="0.2">
      <c r="A50" s="3">
        <f t="shared" si="0"/>
        <v>470</v>
      </c>
      <c r="B50" s="3">
        <f t="shared" si="3"/>
        <v>47</v>
      </c>
      <c r="H50"/>
      <c r="I50" s="3">
        <f t="shared" si="1"/>
        <v>47000</v>
      </c>
    </row>
    <row r="51" spans="1:9" x14ac:dyDescent="0.2">
      <c r="A51" s="3">
        <f t="shared" si="0"/>
        <v>480</v>
      </c>
      <c r="B51" s="3">
        <f t="shared" si="3"/>
        <v>48</v>
      </c>
      <c r="H51"/>
      <c r="I51" s="3">
        <f t="shared" si="1"/>
        <v>48000</v>
      </c>
    </row>
    <row r="52" spans="1:9" x14ac:dyDescent="0.2">
      <c r="A52" s="3">
        <f t="shared" si="0"/>
        <v>490</v>
      </c>
      <c r="B52" s="3">
        <f t="shared" si="3"/>
        <v>49</v>
      </c>
      <c r="H52"/>
      <c r="I52" s="3">
        <f t="shared" si="1"/>
        <v>49000</v>
      </c>
    </row>
    <row r="53" spans="1:9" x14ac:dyDescent="0.2">
      <c r="A53" s="3">
        <f t="shared" si="0"/>
        <v>500</v>
      </c>
      <c r="B53" s="3">
        <f t="shared" si="3"/>
        <v>50</v>
      </c>
      <c r="H53"/>
      <c r="I53" s="3">
        <f t="shared" si="1"/>
        <v>50000</v>
      </c>
    </row>
    <row r="54" spans="1:9" x14ac:dyDescent="0.2">
      <c r="A54" s="3">
        <f t="shared" si="0"/>
        <v>510</v>
      </c>
      <c r="B54" s="3">
        <f t="shared" si="3"/>
        <v>51</v>
      </c>
      <c r="H54"/>
      <c r="I54" s="3">
        <f t="shared" si="1"/>
        <v>51000</v>
      </c>
    </row>
    <row r="55" spans="1:9" x14ac:dyDescent="0.2">
      <c r="A55" s="3">
        <f t="shared" si="0"/>
        <v>520</v>
      </c>
      <c r="B55" s="3">
        <f t="shared" si="3"/>
        <v>52</v>
      </c>
      <c r="H55"/>
      <c r="I55" s="3">
        <f t="shared" si="1"/>
        <v>52000</v>
      </c>
    </row>
    <row r="56" spans="1:9" x14ac:dyDescent="0.2">
      <c r="A56" s="3">
        <f t="shared" si="0"/>
        <v>530</v>
      </c>
      <c r="B56" s="3">
        <f t="shared" si="3"/>
        <v>53</v>
      </c>
      <c r="H56"/>
      <c r="I56" s="3">
        <f t="shared" si="1"/>
        <v>53000</v>
      </c>
    </row>
    <row r="57" spans="1:9" x14ac:dyDescent="0.2">
      <c r="A57" s="3">
        <f t="shared" si="0"/>
        <v>540</v>
      </c>
      <c r="B57" s="3">
        <f t="shared" si="3"/>
        <v>54</v>
      </c>
      <c r="H57"/>
      <c r="I57" s="3">
        <f t="shared" si="1"/>
        <v>54000</v>
      </c>
    </row>
    <row r="58" spans="1:9" x14ac:dyDescent="0.2">
      <c r="A58" s="3">
        <f t="shared" si="0"/>
        <v>550</v>
      </c>
      <c r="B58" s="3">
        <f t="shared" si="3"/>
        <v>55</v>
      </c>
      <c r="H58"/>
      <c r="I58" s="3">
        <f t="shared" si="1"/>
        <v>55000</v>
      </c>
    </row>
    <row r="59" spans="1:9" x14ac:dyDescent="0.2">
      <c r="A59" s="3">
        <f t="shared" si="0"/>
        <v>560</v>
      </c>
      <c r="B59" s="3">
        <f t="shared" si="3"/>
        <v>56</v>
      </c>
      <c r="H59"/>
      <c r="I59" s="3">
        <f t="shared" si="1"/>
        <v>56000</v>
      </c>
    </row>
    <row r="60" spans="1:9" x14ac:dyDescent="0.2">
      <c r="A60" s="3">
        <f t="shared" si="0"/>
        <v>570</v>
      </c>
      <c r="B60" s="3">
        <f t="shared" si="3"/>
        <v>57</v>
      </c>
      <c r="H60"/>
      <c r="I60" s="3">
        <f t="shared" si="1"/>
        <v>57000</v>
      </c>
    </row>
    <row r="61" spans="1:9" x14ac:dyDescent="0.2">
      <c r="A61" s="3">
        <f t="shared" si="0"/>
        <v>580</v>
      </c>
      <c r="B61" s="3">
        <f t="shared" si="3"/>
        <v>58</v>
      </c>
      <c r="H61"/>
      <c r="I61" s="3">
        <f t="shared" si="1"/>
        <v>58000</v>
      </c>
    </row>
    <row r="62" spans="1:9" x14ac:dyDescent="0.2">
      <c r="A62" s="3">
        <f t="shared" si="0"/>
        <v>590</v>
      </c>
      <c r="B62" s="3">
        <f t="shared" si="3"/>
        <v>59</v>
      </c>
      <c r="H62"/>
      <c r="I62" s="3">
        <f t="shared" si="1"/>
        <v>59000</v>
      </c>
    </row>
    <row r="63" spans="1:9" x14ac:dyDescent="0.2">
      <c r="A63" s="3">
        <f t="shared" si="0"/>
        <v>600</v>
      </c>
      <c r="B63" s="3">
        <f t="shared" si="3"/>
        <v>60</v>
      </c>
      <c r="C63" s="8">
        <f t="shared" ref="C63:C85" si="4">+B63/60</f>
        <v>1</v>
      </c>
      <c r="H63"/>
      <c r="I63" s="8">
        <f t="shared" si="1"/>
        <v>60000</v>
      </c>
    </row>
    <row r="64" spans="1:9" x14ac:dyDescent="0.2">
      <c r="A64" s="3">
        <f t="shared" si="0"/>
        <v>1200</v>
      </c>
      <c r="B64" s="3">
        <f>+B63+60</f>
        <v>120</v>
      </c>
      <c r="C64" s="3">
        <f t="shared" si="4"/>
        <v>2</v>
      </c>
      <c r="H64"/>
      <c r="I64" s="3">
        <f t="shared" si="1"/>
        <v>120000</v>
      </c>
    </row>
    <row r="65" spans="1:9" x14ac:dyDescent="0.2">
      <c r="A65" s="3">
        <f t="shared" si="0"/>
        <v>1800</v>
      </c>
      <c r="B65" s="3">
        <f t="shared" ref="B65:B72" si="5">+B64+60</f>
        <v>180</v>
      </c>
      <c r="C65" s="3">
        <f t="shared" si="4"/>
        <v>3</v>
      </c>
      <c r="H65"/>
      <c r="I65" s="3">
        <f t="shared" si="1"/>
        <v>180000</v>
      </c>
    </row>
    <row r="66" spans="1:9" x14ac:dyDescent="0.2">
      <c r="A66" s="3">
        <f t="shared" si="0"/>
        <v>2400</v>
      </c>
      <c r="B66" s="3">
        <f t="shared" si="5"/>
        <v>240</v>
      </c>
      <c r="C66" s="3">
        <f t="shared" si="4"/>
        <v>4</v>
      </c>
      <c r="H66"/>
      <c r="I66" s="3">
        <f t="shared" si="1"/>
        <v>240000</v>
      </c>
    </row>
    <row r="67" spans="1:9" x14ac:dyDescent="0.2">
      <c r="A67" s="3">
        <f t="shared" si="0"/>
        <v>3000</v>
      </c>
      <c r="B67" s="3">
        <f t="shared" si="5"/>
        <v>300</v>
      </c>
      <c r="C67" s="3">
        <f t="shared" si="4"/>
        <v>5</v>
      </c>
      <c r="H67"/>
      <c r="I67" s="3">
        <f t="shared" si="1"/>
        <v>300000</v>
      </c>
    </row>
    <row r="68" spans="1:9" x14ac:dyDescent="0.2">
      <c r="A68" s="3">
        <f t="shared" si="0"/>
        <v>3600</v>
      </c>
      <c r="B68" s="3">
        <f t="shared" si="5"/>
        <v>360</v>
      </c>
      <c r="C68" s="3">
        <f t="shared" si="4"/>
        <v>6</v>
      </c>
      <c r="H68"/>
      <c r="I68" s="3">
        <f t="shared" si="1"/>
        <v>360000</v>
      </c>
    </row>
    <row r="69" spans="1:9" x14ac:dyDescent="0.2">
      <c r="A69" s="3">
        <f t="shared" si="0"/>
        <v>4200</v>
      </c>
      <c r="B69" s="3">
        <f t="shared" si="5"/>
        <v>420</v>
      </c>
      <c r="C69" s="3">
        <f t="shared" si="4"/>
        <v>7</v>
      </c>
      <c r="H69"/>
      <c r="I69" s="3">
        <f t="shared" si="1"/>
        <v>420000</v>
      </c>
    </row>
    <row r="70" spans="1:9" x14ac:dyDescent="0.2">
      <c r="A70" s="3">
        <f t="shared" si="0"/>
        <v>4800</v>
      </c>
      <c r="B70" s="3">
        <f t="shared" si="5"/>
        <v>480</v>
      </c>
      <c r="C70" s="3">
        <f t="shared" si="4"/>
        <v>8</v>
      </c>
      <c r="H70"/>
      <c r="I70" s="3">
        <f t="shared" si="1"/>
        <v>480000</v>
      </c>
    </row>
    <row r="71" spans="1:9" x14ac:dyDescent="0.2">
      <c r="A71" s="3">
        <f t="shared" si="0"/>
        <v>5400</v>
      </c>
      <c r="B71" s="3">
        <f t="shared" si="5"/>
        <v>540</v>
      </c>
      <c r="C71" s="3">
        <f t="shared" si="4"/>
        <v>9</v>
      </c>
      <c r="H71"/>
      <c r="I71" s="3">
        <f t="shared" si="1"/>
        <v>540000</v>
      </c>
    </row>
    <row r="72" spans="1:9" x14ac:dyDescent="0.2">
      <c r="A72" s="3">
        <f t="shared" si="0"/>
        <v>6000</v>
      </c>
      <c r="B72" s="3">
        <f t="shared" si="5"/>
        <v>600</v>
      </c>
      <c r="C72" s="3">
        <f t="shared" si="4"/>
        <v>10</v>
      </c>
      <c r="H72"/>
      <c r="I72" s="3">
        <f t="shared" si="1"/>
        <v>600000</v>
      </c>
    </row>
    <row r="73" spans="1:9" x14ac:dyDescent="0.2">
      <c r="A73" s="3">
        <f t="shared" si="0"/>
        <v>9000</v>
      </c>
      <c r="B73" s="3">
        <f>+B72+300</f>
        <v>900</v>
      </c>
      <c r="C73" s="3">
        <f t="shared" si="4"/>
        <v>15</v>
      </c>
      <c r="H73"/>
      <c r="I73" s="3">
        <f t="shared" si="1"/>
        <v>900000</v>
      </c>
    </row>
    <row r="74" spans="1:9" x14ac:dyDescent="0.2">
      <c r="A74" s="3">
        <f t="shared" si="0"/>
        <v>12000</v>
      </c>
      <c r="B74" s="3">
        <f>+B73+300</f>
        <v>1200</v>
      </c>
      <c r="C74" s="3">
        <f t="shared" si="4"/>
        <v>20</v>
      </c>
      <c r="H74"/>
      <c r="I74" s="3">
        <f t="shared" si="1"/>
        <v>1200000</v>
      </c>
    </row>
    <row r="75" spans="1:9" x14ac:dyDescent="0.2">
      <c r="A75" s="3">
        <f t="shared" si="0"/>
        <v>15000</v>
      </c>
      <c r="B75" s="3">
        <f>+B74+300</f>
        <v>1500</v>
      </c>
      <c r="C75" s="3">
        <f t="shared" si="4"/>
        <v>25</v>
      </c>
      <c r="H75"/>
      <c r="I75" s="3">
        <f t="shared" si="1"/>
        <v>1500000</v>
      </c>
    </row>
    <row r="76" spans="1:9" x14ac:dyDescent="0.2">
      <c r="A76" s="3">
        <f t="shared" si="0"/>
        <v>18000</v>
      </c>
      <c r="B76" s="3">
        <f>+B75+300</f>
        <v>1800</v>
      </c>
      <c r="C76" s="3">
        <f t="shared" si="4"/>
        <v>30</v>
      </c>
      <c r="H76"/>
      <c r="I76" s="3">
        <f t="shared" si="1"/>
        <v>1800000</v>
      </c>
    </row>
    <row r="77" spans="1:9" x14ac:dyDescent="0.2">
      <c r="A77" s="3">
        <f t="shared" si="0"/>
        <v>36000</v>
      </c>
      <c r="B77" s="3">
        <f>+B76+1800</f>
        <v>3600</v>
      </c>
      <c r="C77" s="3">
        <f t="shared" si="4"/>
        <v>60</v>
      </c>
      <c r="D77" s="8">
        <f t="shared" ref="D77:D82" si="6">+C77/60</f>
        <v>1</v>
      </c>
      <c r="H77"/>
      <c r="I77" s="8">
        <f t="shared" si="1"/>
        <v>3600000</v>
      </c>
    </row>
    <row r="78" spans="1:9" x14ac:dyDescent="0.2">
      <c r="A78" s="3">
        <f t="shared" si="0"/>
        <v>72000</v>
      </c>
      <c r="B78" s="3">
        <f>+B77+3600</f>
        <v>7200</v>
      </c>
      <c r="C78" s="3">
        <f t="shared" si="4"/>
        <v>120</v>
      </c>
      <c r="D78" s="3">
        <f t="shared" si="6"/>
        <v>2</v>
      </c>
      <c r="H78"/>
      <c r="I78" s="3">
        <f t="shared" si="1"/>
        <v>7200000</v>
      </c>
    </row>
    <row r="79" spans="1:9" x14ac:dyDescent="0.2">
      <c r="A79" s="3">
        <f t="shared" si="0"/>
        <v>108000</v>
      </c>
      <c r="B79" s="3">
        <f t="shared" ref="B79:B88" si="7">+B78+3600</f>
        <v>10800</v>
      </c>
      <c r="C79" s="3">
        <f t="shared" si="4"/>
        <v>180</v>
      </c>
      <c r="D79" s="3">
        <f t="shared" si="6"/>
        <v>3</v>
      </c>
      <c r="H79"/>
      <c r="I79" s="3">
        <f t="shared" si="1"/>
        <v>10800000</v>
      </c>
    </row>
    <row r="80" spans="1:9" x14ac:dyDescent="0.2">
      <c r="A80" s="3">
        <f t="shared" si="0"/>
        <v>144000</v>
      </c>
      <c r="B80" s="3">
        <f t="shared" si="7"/>
        <v>14400</v>
      </c>
      <c r="C80" s="3">
        <f t="shared" si="4"/>
        <v>240</v>
      </c>
      <c r="D80" s="3">
        <f t="shared" si="6"/>
        <v>4</v>
      </c>
      <c r="H80"/>
      <c r="I80" s="3">
        <f t="shared" si="1"/>
        <v>14400000</v>
      </c>
    </row>
    <row r="81" spans="1:9" x14ac:dyDescent="0.2">
      <c r="A81" s="3">
        <f t="shared" ref="A81:A110" si="8">+I81/$G$1</f>
        <v>180000</v>
      </c>
      <c r="B81" s="3">
        <f t="shared" si="7"/>
        <v>18000</v>
      </c>
      <c r="C81" s="3">
        <f t="shared" si="4"/>
        <v>300</v>
      </c>
      <c r="D81" s="3">
        <f t="shared" si="6"/>
        <v>5</v>
      </c>
      <c r="H81"/>
      <c r="I81" s="3">
        <f t="shared" ref="I81:I110" si="9">+B81*1000</f>
        <v>18000000</v>
      </c>
    </row>
    <row r="82" spans="1:9" x14ac:dyDescent="0.2">
      <c r="A82" s="3">
        <f t="shared" si="8"/>
        <v>216000</v>
      </c>
      <c r="B82" s="3">
        <f t="shared" si="7"/>
        <v>21600</v>
      </c>
      <c r="C82" s="3">
        <f t="shared" si="4"/>
        <v>360</v>
      </c>
      <c r="D82" s="3">
        <f t="shared" si="6"/>
        <v>6</v>
      </c>
      <c r="H82"/>
      <c r="I82" s="3">
        <f t="shared" si="9"/>
        <v>21600000</v>
      </c>
    </row>
    <row r="83" spans="1:9" x14ac:dyDescent="0.2">
      <c r="A83" s="3">
        <f t="shared" si="8"/>
        <v>252000</v>
      </c>
      <c r="B83" s="3">
        <f t="shared" si="7"/>
        <v>25200</v>
      </c>
      <c r="C83" s="3">
        <f t="shared" si="4"/>
        <v>420</v>
      </c>
      <c r="D83" s="3">
        <f>+C83/60</f>
        <v>7</v>
      </c>
      <c r="H83"/>
      <c r="I83" s="3">
        <f t="shared" si="9"/>
        <v>25200000</v>
      </c>
    </row>
    <row r="84" spans="1:9" x14ac:dyDescent="0.2">
      <c r="A84" s="3">
        <f t="shared" si="8"/>
        <v>288000</v>
      </c>
      <c r="B84" s="3">
        <f t="shared" si="7"/>
        <v>28800</v>
      </c>
      <c r="C84" s="3">
        <f t="shared" si="4"/>
        <v>480</v>
      </c>
      <c r="D84" s="3">
        <f>+C84/60</f>
        <v>8</v>
      </c>
      <c r="H84"/>
      <c r="I84" s="3">
        <f t="shared" si="9"/>
        <v>28800000</v>
      </c>
    </row>
    <row r="85" spans="1:9" x14ac:dyDescent="0.2">
      <c r="A85" s="3">
        <f t="shared" si="8"/>
        <v>324000</v>
      </c>
      <c r="B85" s="3">
        <f t="shared" si="7"/>
        <v>32400</v>
      </c>
      <c r="C85" s="3">
        <f t="shared" si="4"/>
        <v>540</v>
      </c>
      <c r="D85" s="3">
        <f>+C85/60</f>
        <v>9</v>
      </c>
      <c r="H85"/>
      <c r="I85" s="3">
        <f t="shared" si="9"/>
        <v>32400000</v>
      </c>
    </row>
    <row r="86" spans="1:9" x14ac:dyDescent="0.2">
      <c r="A86" s="3">
        <f t="shared" si="8"/>
        <v>360000</v>
      </c>
      <c r="B86" s="3">
        <f t="shared" si="7"/>
        <v>36000</v>
      </c>
      <c r="C86" s="3">
        <f t="shared" ref="C86:D110" si="10">+B86/60</f>
        <v>600</v>
      </c>
      <c r="D86" s="3">
        <f t="shared" si="10"/>
        <v>10</v>
      </c>
      <c r="H86"/>
      <c r="I86" s="3">
        <f t="shared" si="9"/>
        <v>36000000</v>
      </c>
    </row>
    <row r="87" spans="1:9" x14ac:dyDescent="0.2">
      <c r="A87" s="3">
        <f t="shared" si="8"/>
        <v>396000</v>
      </c>
      <c r="B87" s="3">
        <f t="shared" si="7"/>
        <v>39600</v>
      </c>
      <c r="C87" s="3">
        <f t="shared" si="10"/>
        <v>660</v>
      </c>
      <c r="D87" s="3">
        <f t="shared" si="10"/>
        <v>11</v>
      </c>
      <c r="H87"/>
      <c r="I87" s="3">
        <f t="shared" si="9"/>
        <v>39600000</v>
      </c>
    </row>
    <row r="88" spans="1:9" x14ac:dyDescent="0.2">
      <c r="A88" s="3">
        <f t="shared" si="8"/>
        <v>432000</v>
      </c>
      <c r="B88" s="3">
        <f t="shared" si="7"/>
        <v>43200</v>
      </c>
      <c r="C88" s="3">
        <f t="shared" si="10"/>
        <v>720</v>
      </c>
      <c r="D88" s="3">
        <f t="shared" si="10"/>
        <v>12</v>
      </c>
      <c r="H88"/>
      <c r="I88" s="3">
        <f t="shared" si="9"/>
        <v>43200000</v>
      </c>
    </row>
    <row r="89" spans="1:9" x14ac:dyDescent="0.2">
      <c r="A89" s="3">
        <f t="shared" si="8"/>
        <v>864000</v>
      </c>
      <c r="B89" s="3">
        <f>+B88+43200</f>
        <v>86400</v>
      </c>
      <c r="C89" s="3">
        <f t="shared" si="10"/>
        <v>1440</v>
      </c>
      <c r="D89" s="3">
        <f t="shared" si="10"/>
        <v>24</v>
      </c>
      <c r="E89" s="8">
        <f t="shared" ref="E89:E110" si="11">+D89/24</f>
        <v>1</v>
      </c>
      <c r="H89"/>
      <c r="I89" s="8">
        <f t="shared" si="9"/>
        <v>86400000</v>
      </c>
    </row>
    <row r="90" spans="1:9" x14ac:dyDescent="0.2">
      <c r="A90" s="3">
        <f t="shared" si="8"/>
        <v>1728000</v>
      </c>
      <c r="B90" s="3">
        <f t="shared" ref="B90:B95" si="12">+B89+86400</f>
        <v>172800</v>
      </c>
      <c r="C90" s="3">
        <f t="shared" si="10"/>
        <v>2880</v>
      </c>
      <c r="D90" s="3">
        <f t="shared" si="10"/>
        <v>48</v>
      </c>
      <c r="E90" s="3">
        <f t="shared" si="11"/>
        <v>2</v>
      </c>
      <c r="H90"/>
      <c r="I90" s="3">
        <f t="shared" si="9"/>
        <v>172800000</v>
      </c>
    </row>
    <row r="91" spans="1:9" x14ac:dyDescent="0.2">
      <c r="A91" s="3">
        <f t="shared" si="8"/>
        <v>2592000</v>
      </c>
      <c r="B91" s="3">
        <f t="shared" si="12"/>
        <v>259200</v>
      </c>
      <c r="C91" s="3">
        <f t="shared" si="10"/>
        <v>4320</v>
      </c>
      <c r="D91" s="3">
        <f t="shared" si="10"/>
        <v>72</v>
      </c>
      <c r="E91" s="3">
        <f t="shared" si="11"/>
        <v>3</v>
      </c>
      <c r="H91"/>
      <c r="I91" s="3">
        <f t="shared" si="9"/>
        <v>259200000</v>
      </c>
    </row>
    <row r="92" spans="1:9" x14ac:dyDescent="0.2">
      <c r="A92" s="3">
        <f t="shared" si="8"/>
        <v>3456000</v>
      </c>
      <c r="B92" s="3">
        <f t="shared" si="12"/>
        <v>345600</v>
      </c>
      <c r="C92" s="3">
        <f t="shared" si="10"/>
        <v>5760</v>
      </c>
      <c r="D92" s="3">
        <f t="shared" si="10"/>
        <v>96</v>
      </c>
      <c r="E92" s="3">
        <f t="shared" si="11"/>
        <v>4</v>
      </c>
      <c r="H92"/>
      <c r="I92" s="3">
        <f t="shared" si="9"/>
        <v>345600000</v>
      </c>
    </row>
    <row r="93" spans="1:9" x14ac:dyDescent="0.2">
      <c r="A93" s="3">
        <f t="shared" si="8"/>
        <v>4320000</v>
      </c>
      <c r="B93" s="3">
        <f t="shared" si="12"/>
        <v>432000</v>
      </c>
      <c r="C93" s="3">
        <f t="shared" si="10"/>
        <v>7200</v>
      </c>
      <c r="D93" s="3">
        <f t="shared" si="10"/>
        <v>120</v>
      </c>
      <c r="E93" s="3">
        <f t="shared" si="11"/>
        <v>5</v>
      </c>
      <c r="H93"/>
      <c r="I93" s="3">
        <f t="shared" si="9"/>
        <v>432000000</v>
      </c>
    </row>
    <row r="94" spans="1:9" x14ac:dyDescent="0.2">
      <c r="A94" s="3">
        <f t="shared" si="8"/>
        <v>5184000</v>
      </c>
      <c r="B94" s="3">
        <f t="shared" si="12"/>
        <v>518400</v>
      </c>
      <c r="C94" s="3">
        <f t="shared" si="10"/>
        <v>8640</v>
      </c>
      <c r="D94" s="3">
        <f t="shared" si="10"/>
        <v>144</v>
      </c>
      <c r="E94" s="3">
        <f t="shared" si="11"/>
        <v>6</v>
      </c>
      <c r="H94"/>
      <c r="I94" s="3">
        <f t="shared" si="9"/>
        <v>518400000</v>
      </c>
    </row>
    <row r="95" spans="1:9" x14ac:dyDescent="0.2">
      <c r="A95" s="3">
        <f t="shared" si="8"/>
        <v>6048000</v>
      </c>
      <c r="B95" s="3">
        <f t="shared" si="12"/>
        <v>604800</v>
      </c>
      <c r="C95" s="3">
        <f t="shared" si="10"/>
        <v>10080</v>
      </c>
      <c r="D95" s="3">
        <f t="shared" si="10"/>
        <v>168</v>
      </c>
      <c r="E95" s="3">
        <f t="shared" si="11"/>
        <v>7</v>
      </c>
      <c r="F95" s="8">
        <f>INT(+E95/7)</f>
        <v>1</v>
      </c>
      <c r="H95"/>
      <c r="I95" s="8">
        <f t="shared" si="9"/>
        <v>604800000</v>
      </c>
    </row>
    <row r="96" spans="1:9" x14ac:dyDescent="0.2">
      <c r="A96" s="3">
        <f t="shared" si="8"/>
        <v>12096000</v>
      </c>
      <c r="B96" s="3">
        <f>+B95+604800</f>
        <v>1209600</v>
      </c>
      <c r="C96" s="3">
        <f t="shared" si="10"/>
        <v>20160</v>
      </c>
      <c r="D96" s="3">
        <f t="shared" si="10"/>
        <v>336</v>
      </c>
      <c r="E96" s="3">
        <f t="shared" si="11"/>
        <v>14</v>
      </c>
      <c r="F96" s="3">
        <f t="shared" ref="F96:F110" si="13">INT(+E96/7)</f>
        <v>2</v>
      </c>
      <c r="H96"/>
      <c r="I96" s="3">
        <f t="shared" si="9"/>
        <v>1209600000</v>
      </c>
    </row>
    <row r="97" spans="1:9" x14ac:dyDescent="0.2">
      <c r="A97" s="3">
        <f t="shared" si="8"/>
        <v>18144000</v>
      </c>
      <c r="B97" s="3">
        <f>+B96+604800</f>
        <v>1814400</v>
      </c>
      <c r="C97" s="3">
        <f t="shared" si="10"/>
        <v>30240</v>
      </c>
      <c r="D97" s="3">
        <f t="shared" si="10"/>
        <v>504</v>
      </c>
      <c r="E97" s="3">
        <f t="shared" si="11"/>
        <v>21</v>
      </c>
      <c r="F97" s="3">
        <f t="shared" si="13"/>
        <v>3</v>
      </c>
      <c r="H97"/>
      <c r="I97" s="3">
        <f t="shared" si="9"/>
        <v>1814400000</v>
      </c>
    </row>
    <row r="98" spans="1:9" x14ac:dyDescent="0.2">
      <c r="A98" s="3">
        <f t="shared" si="8"/>
        <v>24192000</v>
      </c>
      <c r="B98" s="3">
        <f>+B97+604800</f>
        <v>2419200</v>
      </c>
      <c r="C98" s="3">
        <f t="shared" si="10"/>
        <v>40320</v>
      </c>
      <c r="D98" s="3">
        <f t="shared" si="10"/>
        <v>672</v>
      </c>
      <c r="E98" s="3">
        <f t="shared" si="11"/>
        <v>28</v>
      </c>
      <c r="F98" s="3">
        <f t="shared" si="13"/>
        <v>4</v>
      </c>
      <c r="H98"/>
      <c r="I98" s="3">
        <f t="shared" si="9"/>
        <v>2419200000</v>
      </c>
    </row>
    <row r="99" spans="1:9" x14ac:dyDescent="0.2">
      <c r="A99" s="3">
        <f t="shared" si="8"/>
        <v>25920000</v>
      </c>
      <c r="B99" s="3">
        <f>+B89*30</f>
        <v>2592000</v>
      </c>
      <c r="C99" s="3">
        <f t="shared" si="10"/>
        <v>43200</v>
      </c>
      <c r="D99" s="3">
        <f t="shared" si="10"/>
        <v>720</v>
      </c>
      <c r="E99" s="3">
        <f t="shared" si="11"/>
        <v>30</v>
      </c>
      <c r="F99" s="3">
        <f t="shared" si="13"/>
        <v>4</v>
      </c>
      <c r="G99" s="8">
        <f>+E99/30</f>
        <v>1</v>
      </c>
      <c r="H99"/>
      <c r="I99" s="8">
        <f t="shared" si="9"/>
        <v>2592000000</v>
      </c>
    </row>
    <row r="100" spans="1:9" x14ac:dyDescent="0.2">
      <c r="A100" s="3">
        <f t="shared" si="8"/>
        <v>51840000</v>
      </c>
      <c r="B100" s="3">
        <f>+B99+2592000</f>
        <v>5184000</v>
      </c>
      <c r="C100" s="3">
        <f t="shared" si="10"/>
        <v>86400</v>
      </c>
      <c r="D100" s="3">
        <f t="shared" si="10"/>
        <v>1440</v>
      </c>
      <c r="E100" s="3">
        <f t="shared" si="11"/>
        <v>60</v>
      </c>
      <c r="F100" s="3">
        <f t="shared" si="13"/>
        <v>8</v>
      </c>
      <c r="G100" s="3">
        <f t="shared" ref="G100:G109" si="14">+E100/30</f>
        <v>2</v>
      </c>
      <c r="H100"/>
      <c r="I100" s="3">
        <f t="shared" si="9"/>
        <v>5184000000</v>
      </c>
    </row>
    <row r="101" spans="1:9" x14ac:dyDescent="0.2">
      <c r="A101" s="3">
        <f t="shared" si="8"/>
        <v>77760000</v>
      </c>
      <c r="B101" s="3">
        <f t="shared" ref="B101:B110" si="15">+B100+2592000</f>
        <v>7776000</v>
      </c>
      <c r="C101" s="3">
        <f t="shared" si="10"/>
        <v>129600</v>
      </c>
      <c r="D101" s="3">
        <f t="shared" si="10"/>
        <v>2160</v>
      </c>
      <c r="E101" s="3">
        <f t="shared" si="11"/>
        <v>90</v>
      </c>
      <c r="F101" s="3">
        <f t="shared" si="13"/>
        <v>12</v>
      </c>
      <c r="G101" s="3">
        <f t="shared" si="14"/>
        <v>3</v>
      </c>
      <c r="H101"/>
      <c r="I101" s="3">
        <f t="shared" si="9"/>
        <v>7776000000</v>
      </c>
    </row>
    <row r="102" spans="1:9" x14ac:dyDescent="0.2">
      <c r="A102" s="3">
        <f t="shared" si="8"/>
        <v>103680000</v>
      </c>
      <c r="B102" s="3">
        <f t="shared" si="15"/>
        <v>10368000</v>
      </c>
      <c r="C102" s="3">
        <f t="shared" si="10"/>
        <v>172800</v>
      </c>
      <c r="D102" s="3">
        <f t="shared" si="10"/>
        <v>2880</v>
      </c>
      <c r="E102" s="3">
        <f t="shared" si="11"/>
        <v>120</v>
      </c>
      <c r="F102" s="3">
        <f t="shared" si="13"/>
        <v>17</v>
      </c>
      <c r="G102" s="3">
        <f t="shared" si="14"/>
        <v>4</v>
      </c>
      <c r="H102"/>
      <c r="I102" s="3">
        <f t="shared" si="9"/>
        <v>10368000000</v>
      </c>
    </row>
    <row r="103" spans="1:9" x14ac:dyDescent="0.2">
      <c r="A103" s="3">
        <f t="shared" si="8"/>
        <v>129600000</v>
      </c>
      <c r="B103" s="3">
        <f t="shared" si="15"/>
        <v>12960000</v>
      </c>
      <c r="C103" s="3">
        <f t="shared" si="10"/>
        <v>216000</v>
      </c>
      <c r="D103" s="3">
        <f t="shared" si="10"/>
        <v>3600</v>
      </c>
      <c r="E103" s="3">
        <f t="shared" si="11"/>
        <v>150</v>
      </c>
      <c r="F103" s="3">
        <f t="shared" si="13"/>
        <v>21</v>
      </c>
      <c r="G103" s="3">
        <f t="shared" si="14"/>
        <v>5</v>
      </c>
      <c r="H103"/>
      <c r="I103" s="3">
        <f t="shared" si="9"/>
        <v>12960000000</v>
      </c>
    </row>
    <row r="104" spans="1:9" x14ac:dyDescent="0.2">
      <c r="A104" s="3">
        <f t="shared" si="8"/>
        <v>155520000</v>
      </c>
      <c r="B104" s="3">
        <f t="shared" si="15"/>
        <v>15552000</v>
      </c>
      <c r="C104" s="3">
        <f t="shared" si="10"/>
        <v>259200</v>
      </c>
      <c r="D104" s="3">
        <f t="shared" si="10"/>
        <v>4320</v>
      </c>
      <c r="E104" s="3">
        <f t="shared" si="11"/>
        <v>180</v>
      </c>
      <c r="F104" s="3">
        <f t="shared" si="13"/>
        <v>25</v>
      </c>
      <c r="G104" s="3">
        <f t="shared" si="14"/>
        <v>6</v>
      </c>
      <c r="H104"/>
      <c r="I104" s="3">
        <f t="shared" si="9"/>
        <v>15552000000</v>
      </c>
    </row>
    <row r="105" spans="1:9" x14ac:dyDescent="0.2">
      <c r="A105" s="3">
        <f t="shared" si="8"/>
        <v>181440000</v>
      </c>
      <c r="B105" s="3">
        <f t="shared" si="15"/>
        <v>18144000</v>
      </c>
      <c r="C105" s="3">
        <f t="shared" si="10"/>
        <v>302400</v>
      </c>
      <c r="D105" s="3">
        <f t="shared" si="10"/>
        <v>5040</v>
      </c>
      <c r="E105" s="3">
        <f t="shared" si="11"/>
        <v>210</v>
      </c>
      <c r="F105" s="3">
        <f t="shared" si="13"/>
        <v>30</v>
      </c>
      <c r="G105" s="3">
        <f t="shared" si="14"/>
        <v>7</v>
      </c>
      <c r="H105"/>
      <c r="I105" s="3">
        <f t="shared" si="9"/>
        <v>18144000000</v>
      </c>
    </row>
    <row r="106" spans="1:9" x14ac:dyDescent="0.2">
      <c r="A106" s="3">
        <f t="shared" si="8"/>
        <v>207360000</v>
      </c>
      <c r="B106" s="3">
        <f t="shared" si="15"/>
        <v>20736000</v>
      </c>
      <c r="C106" s="3">
        <f t="shared" si="10"/>
        <v>345600</v>
      </c>
      <c r="D106" s="3">
        <f t="shared" si="10"/>
        <v>5760</v>
      </c>
      <c r="E106" s="3">
        <f t="shared" si="11"/>
        <v>240</v>
      </c>
      <c r="F106" s="3">
        <f t="shared" si="13"/>
        <v>34</v>
      </c>
      <c r="G106" s="3">
        <f t="shared" si="14"/>
        <v>8</v>
      </c>
      <c r="H106"/>
      <c r="I106" s="3">
        <f t="shared" si="9"/>
        <v>20736000000</v>
      </c>
    </row>
    <row r="107" spans="1:9" x14ac:dyDescent="0.2">
      <c r="A107" s="3">
        <f t="shared" si="8"/>
        <v>233280000</v>
      </c>
      <c r="B107" s="3">
        <f t="shared" si="15"/>
        <v>23328000</v>
      </c>
      <c r="C107" s="3">
        <f t="shared" si="10"/>
        <v>388800</v>
      </c>
      <c r="D107" s="3">
        <f t="shared" si="10"/>
        <v>6480</v>
      </c>
      <c r="E107" s="3">
        <f t="shared" si="11"/>
        <v>270</v>
      </c>
      <c r="F107" s="3">
        <f t="shared" si="13"/>
        <v>38</v>
      </c>
      <c r="G107" s="3">
        <f t="shared" si="14"/>
        <v>9</v>
      </c>
      <c r="H107"/>
      <c r="I107" s="3">
        <f t="shared" si="9"/>
        <v>23328000000</v>
      </c>
    </row>
    <row r="108" spans="1:9" x14ac:dyDescent="0.2">
      <c r="A108" s="3">
        <f t="shared" si="8"/>
        <v>259200000</v>
      </c>
      <c r="B108" s="3">
        <f t="shared" si="15"/>
        <v>25920000</v>
      </c>
      <c r="C108" s="3">
        <f t="shared" si="10"/>
        <v>432000</v>
      </c>
      <c r="D108" s="3">
        <f t="shared" si="10"/>
        <v>7200</v>
      </c>
      <c r="E108" s="3">
        <f t="shared" si="11"/>
        <v>300</v>
      </c>
      <c r="F108" s="3">
        <f t="shared" si="13"/>
        <v>42</v>
      </c>
      <c r="G108" s="3">
        <f t="shared" si="14"/>
        <v>10</v>
      </c>
      <c r="H108"/>
      <c r="I108" s="3">
        <f t="shared" si="9"/>
        <v>25920000000</v>
      </c>
    </row>
    <row r="109" spans="1:9" x14ac:dyDescent="0.2">
      <c r="A109" s="3">
        <f t="shared" si="8"/>
        <v>285120000</v>
      </c>
      <c r="B109" s="3">
        <f t="shared" si="15"/>
        <v>28512000</v>
      </c>
      <c r="C109" s="3">
        <f t="shared" si="10"/>
        <v>475200</v>
      </c>
      <c r="D109" s="3">
        <f t="shared" si="10"/>
        <v>7920</v>
      </c>
      <c r="E109" s="3">
        <f t="shared" si="11"/>
        <v>330</v>
      </c>
      <c r="F109" s="3">
        <f t="shared" si="13"/>
        <v>47</v>
      </c>
      <c r="G109" s="3">
        <f t="shared" si="14"/>
        <v>11</v>
      </c>
      <c r="H109"/>
      <c r="I109" s="3">
        <f t="shared" si="9"/>
        <v>28512000000</v>
      </c>
    </row>
    <row r="110" spans="1:9" x14ac:dyDescent="0.2">
      <c r="A110" s="3">
        <f t="shared" si="8"/>
        <v>311040000</v>
      </c>
      <c r="B110" s="3">
        <f t="shared" si="15"/>
        <v>31104000</v>
      </c>
      <c r="C110" s="3">
        <f t="shared" si="10"/>
        <v>518400</v>
      </c>
      <c r="D110" s="3">
        <f t="shared" si="10"/>
        <v>8640</v>
      </c>
      <c r="E110" s="3">
        <f t="shared" si="11"/>
        <v>360</v>
      </c>
      <c r="F110" s="3">
        <f t="shared" si="13"/>
        <v>51</v>
      </c>
      <c r="G110" s="3">
        <f>+E110/30</f>
        <v>12</v>
      </c>
      <c r="H110" s="9">
        <f>+G110/12</f>
        <v>1</v>
      </c>
      <c r="I110" s="8">
        <f t="shared" si="9"/>
        <v>31104000000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Ticks</vt:lpstr>
    </vt:vector>
  </TitlesOfParts>
  <Company>Mecklenburg County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bryansl</dc:creator>
  <cp:lastModifiedBy>Steve B</cp:lastModifiedBy>
  <dcterms:created xsi:type="dcterms:W3CDTF">2002-12-19T18:37:59Z</dcterms:created>
  <dcterms:modified xsi:type="dcterms:W3CDTF">2025-12-21T01:51:26Z</dcterms:modified>
</cp:coreProperties>
</file>